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e12f0218703c950c/GRUPOUS/"/>
    </mc:Choice>
  </mc:AlternateContent>
  <xr:revisionPtr revIDLastSave="3359" documentId="8_{8B9701FB-D009-4473-A816-7390FB9C8509}" xr6:coauthVersionLast="47" xr6:coauthVersionMax="47" xr10:uidLastSave="{3807E773-146B-4C31-991B-7C0AB9AE607A}"/>
  <bookViews>
    <workbookView xWindow="-110" yWindow="-110" windowWidth="38620" windowHeight="21100" firstSheet="1" activeTab="1" xr2:uid="{A2EC85B1-EA74-4E2B-8240-08F783616E76}"/>
  </bookViews>
  <sheets>
    <sheet name="NEON CICLO 2" sheetId="1" r:id="rId1"/>
    <sheet name="NEON CICLO 3" sheetId="3" r:id="rId2"/>
    <sheet name="RENOVAÇÃO CICLO 2" sheetId="2" r:id="rId3"/>
    <sheet name="RENOVAÇÃO CICLO 3" sheetId="4" r:id="rId4"/>
    <sheet name="ACESSO COMU US" sheetId="6" r:id="rId5"/>
    <sheet name="planilha" sheetId="8" r:id="rId6"/>
    <sheet name="Planilha3" sheetId="7" r:id="rId7"/>
    <sheet name="Planilha1" sheetId="5" r:id="rId8"/>
  </sheets>
  <definedNames>
    <definedName name="_xlnm._FilterDatabase" localSheetId="4" hidden="1">'ACESSO COMU US'!$A$1:$C$1</definedName>
    <definedName name="_xlnm._FilterDatabase" localSheetId="1" hidden="1">'NEON CICLO 3'!$A$1:$AI$1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7" l="1"/>
  <c r="D30" i="7"/>
  <c r="D24" i="7"/>
  <c r="D25" i="7"/>
  <c r="D26" i="7"/>
  <c r="D27" i="7"/>
  <c r="D28" i="7"/>
  <c r="D19" i="7"/>
  <c r="D20" i="7"/>
  <c r="D21" i="7"/>
  <c r="D22" i="7"/>
  <c r="D23" i="7"/>
  <c r="D18" i="7"/>
  <c r="D15" i="7"/>
  <c r="D16" i="7"/>
  <c r="D17" i="7"/>
  <c r="D14" i="7"/>
  <c r="D3" i="7"/>
  <c r="D4" i="7"/>
  <c r="D5" i="7"/>
  <c r="D6" i="7"/>
  <c r="D7" i="7"/>
  <c r="D8" i="7"/>
  <c r="D9" i="7"/>
  <c r="D10" i="7"/>
  <c r="D11" i="7"/>
  <c r="D12" i="7"/>
  <c r="D13" i="7"/>
  <c r="D2" i="7"/>
  <c r="D29" i="7" s="1"/>
  <c r="C29" i="7"/>
  <c r="B9" i="8"/>
  <c r="H14" i="1"/>
  <c r="H13" i="1"/>
  <c r="H5" i="1"/>
  <c r="H10" i="1"/>
  <c r="H7" i="1"/>
  <c r="H3" i="1"/>
  <c r="H9" i="1"/>
  <c r="H2" i="1"/>
  <c r="H6" i="1"/>
  <c r="H12" i="1"/>
  <c r="H8" i="1"/>
  <c r="H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tc={3FE102F9-667B-4592-ADE6-D5EFFF16C46B}</author>
    <author>tc={9794CB58-6487-46C6-BF0C-4AB51B27B4FC}</author>
  </authors>
  <commentList>
    <comment ref="F4" authorId="0" shapeId="0" xr:uid="{3FE102F9-667B-4592-ADE6-D5EFFF16C46B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Pagou a vista - pix</t>
      </text>
    </comment>
    <comment ref="F5" authorId="1" shapeId="0" xr:uid="{9794CB58-6487-46C6-BF0C-4AB51B27B4FC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Pagou R$ 9500 em 10x R$ 1118,44 no cartão</t>
      </text>
    </comment>
  </commentList>
</comments>
</file>

<file path=xl/sharedStrings.xml><?xml version="1.0" encoding="utf-8"?>
<sst xmlns="http://schemas.openxmlformats.org/spreadsheetml/2006/main" count="1170" uniqueCount="478">
  <si>
    <t>N°</t>
  </si>
  <si>
    <t>NOME</t>
  </si>
  <si>
    <t xml:space="preserve"> APLICAÇÃO </t>
  </si>
  <si>
    <t>DATA APLIC</t>
  </si>
  <si>
    <t>FORMA PGTO APLIC</t>
  </si>
  <si>
    <t>QTDE PARCELA</t>
  </si>
  <si>
    <t xml:space="preserve"> VLR PARCELA </t>
  </si>
  <si>
    <t>TOTAL</t>
  </si>
  <si>
    <t>DATA DA VENDA</t>
  </si>
  <si>
    <t>TELEFONE</t>
  </si>
  <si>
    <t>CPF</t>
  </si>
  <si>
    <t>EMAIL</t>
  </si>
  <si>
    <t>CEP</t>
  </si>
  <si>
    <t>CIDADE</t>
  </si>
  <si>
    <t>ESTADO</t>
  </si>
  <si>
    <t>BAIRRO</t>
  </si>
  <si>
    <t>PAÍS</t>
  </si>
  <si>
    <t>ENDEREÇO</t>
  </si>
  <si>
    <t>Nº</t>
  </si>
  <si>
    <t>COMPLEMENTO</t>
  </si>
  <si>
    <t>1º VCTO</t>
  </si>
  <si>
    <t>CONTRATO</t>
  </si>
  <si>
    <t> </t>
  </si>
  <si>
    <t>Alina Ribeiro Targino de Araújo</t>
  </si>
  <si>
    <t>Hubla</t>
  </si>
  <si>
    <t>83 99141-4004</t>
  </si>
  <si>
    <t>024.393.884-59</t>
  </si>
  <si>
    <t>alinaribeiro27@outlook.com</t>
  </si>
  <si>
    <t>58042-010</t>
  </si>
  <si>
    <t>João Pessoa</t>
  </si>
  <si>
    <t>PB</t>
  </si>
  <si>
    <t xml:space="preserve">Tambauzinho </t>
  </si>
  <si>
    <t>Brasil</t>
  </si>
  <si>
    <t>Rua Prof Álvaro Carvalho</t>
  </si>
  <si>
    <t>ASSINADO</t>
  </si>
  <si>
    <t>Daniani Boscaini Lira</t>
  </si>
  <si>
    <t>94 98168-5550</t>
  </si>
  <si>
    <t>328.251.988-54</t>
  </si>
  <si>
    <t>daniboscainilira@gmail.com</t>
  </si>
  <si>
    <t>68455-676</t>
  </si>
  <si>
    <t>Tucuruí</t>
  </si>
  <si>
    <t>PA</t>
  </si>
  <si>
    <t>Vila Permanente</t>
  </si>
  <si>
    <t>Rua Maria da Glória Almeida</t>
  </si>
  <si>
    <t>Casa</t>
  </si>
  <si>
    <t>Isa Araujo Leal</t>
  </si>
  <si>
    <t>61 98112-6383</t>
  </si>
  <si>
    <t xml:space="preserve">isaraujoleal@gmail.com </t>
  </si>
  <si>
    <t>70230-180</t>
  </si>
  <si>
    <t>Brasília</t>
  </si>
  <si>
    <t>DF</t>
  </si>
  <si>
    <t xml:space="preserve">Asa Sul </t>
  </si>
  <si>
    <t>SQS 405 Bloco R</t>
  </si>
  <si>
    <t>-</t>
  </si>
  <si>
    <t>Ap 305</t>
  </si>
  <si>
    <t>Karina Nascimento Pereira Vuolo</t>
  </si>
  <si>
    <t>14 99805-7700</t>
  </si>
  <si>
    <t>191.026.288-99</t>
  </si>
  <si>
    <t>Karinaortodintista@yahoo.com.br</t>
  </si>
  <si>
    <t>18900-416</t>
  </si>
  <si>
    <t xml:space="preserve">Santa Cruz do Rio Pardo </t>
  </si>
  <si>
    <t>SP</t>
  </si>
  <si>
    <t xml:space="preserve">ChÁcara peixe </t>
  </si>
  <si>
    <t>Benjamin Constant</t>
  </si>
  <si>
    <t>Kleber Oliveira Gomes da Silva</t>
  </si>
  <si>
    <t>81 98856-3779</t>
  </si>
  <si>
    <t>092.526.824-06</t>
  </si>
  <si>
    <t>Kleberoliveirags@gmail.com</t>
  </si>
  <si>
    <t>50751-425</t>
  </si>
  <si>
    <t>Recife</t>
  </si>
  <si>
    <t>PE</t>
  </si>
  <si>
    <t>Bongi</t>
  </si>
  <si>
    <t>Rua Acajutiba</t>
  </si>
  <si>
    <t>Lana Cristina Sequeira Máximo</t>
  </si>
  <si>
    <t>38 99900-1335</t>
  </si>
  <si>
    <t>108.388.606-13</t>
  </si>
  <si>
    <t>bycareunai@gmail.com</t>
  </si>
  <si>
    <t>38613-320</t>
  </si>
  <si>
    <t>Unaí</t>
  </si>
  <si>
    <t>MG</t>
  </si>
  <si>
    <t xml:space="preserve">Novo Jardim </t>
  </si>
  <si>
    <t>Rua José Durães Versiane</t>
  </si>
  <si>
    <t xml:space="preserve">Lohrane Narrara do Nascimento </t>
  </si>
  <si>
    <t>62 99913-2363</t>
  </si>
  <si>
    <t>028.963.321-46</t>
  </si>
  <si>
    <t>lohrane.farma@gmail.com</t>
  </si>
  <si>
    <t>38300-174</t>
  </si>
  <si>
    <t>Ituiutaba</t>
  </si>
  <si>
    <t>Setor Norte</t>
  </si>
  <si>
    <t>Rua Zumbi dos Palmares</t>
  </si>
  <si>
    <t>Nayane Francis Couto Barbosa</t>
  </si>
  <si>
    <t>81 98366-3274</t>
  </si>
  <si>
    <t>081.377.684-83</t>
  </si>
  <si>
    <t xml:space="preserve">nayanedermatoesteta@gmail.com </t>
  </si>
  <si>
    <t>50751-535</t>
  </si>
  <si>
    <t>Rua Dona Maria augusta Nogueira</t>
  </si>
  <si>
    <t>Tamara Dilma da Silva</t>
  </si>
  <si>
    <t>48 99901-6850</t>
  </si>
  <si>
    <t>053.884.589-97</t>
  </si>
  <si>
    <t>enftamaradilma@gmail.com</t>
  </si>
  <si>
    <t>88164-104</t>
  </si>
  <si>
    <t>Biguaçu</t>
  </si>
  <si>
    <t>SC</t>
  </si>
  <si>
    <t>Vendaval</t>
  </si>
  <si>
    <t>Rua Prefeito Avelino Müller</t>
  </si>
  <si>
    <t>30/11/2024</t>
  </si>
  <si>
    <t>Tássia Cristina Delmondes Carezzato</t>
  </si>
  <si>
    <t>R$ 1898,42</t>
  </si>
  <si>
    <t>R$ 22781,04</t>
  </si>
  <si>
    <t>11 94037-9280</t>
  </si>
  <si>
    <t>372.857.618.26</t>
  </si>
  <si>
    <t>tassia.delmondes@gmail.com</t>
  </si>
  <si>
    <t>05145-100</t>
  </si>
  <si>
    <t>São Paulo</t>
  </si>
  <si>
    <t>Jardim Iris</t>
  </si>
  <si>
    <t>Av Raimundo Pereira de Magalhães</t>
  </si>
  <si>
    <t>Ap 48 Torre 01</t>
  </si>
  <si>
    <t>Thaís Monteiro Dias</t>
  </si>
  <si>
    <t xml:space="preserve"> 61 99873-2173</t>
  </si>
  <si>
    <t>017.756.961-11</t>
  </si>
  <si>
    <t>thaismonteirodf@gmail.com</t>
  </si>
  <si>
    <t>72300-533</t>
  </si>
  <si>
    <t>Cond Via Solare</t>
  </si>
  <si>
    <t>Qr 301 Conj 2 Lotes 9 a 17 e 19 a22</t>
  </si>
  <si>
    <t xml:space="preserve">Ap 903 b </t>
  </si>
  <si>
    <t>Ivanna Thaís da Silva Freitas</t>
  </si>
  <si>
    <t>81 99683-5118</t>
  </si>
  <si>
    <t>095.814.024-38</t>
  </si>
  <si>
    <t xml:space="preserve">ivanna-27@hotmail.com </t>
  </si>
  <si>
    <t>50050-150</t>
  </si>
  <si>
    <t>Santo Amaro</t>
  </si>
  <si>
    <t>Rua Dom Pedro Henrique</t>
  </si>
  <si>
    <t>Ap 1308</t>
  </si>
  <si>
    <t>Thaís Chagas Cabral de Souza</t>
  </si>
  <si>
    <t>22 99975-3128</t>
  </si>
  <si>
    <t>117.157.227-10</t>
  </si>
  <si>
    <t>thaisccdesouza@hotmail.com</t>
  </si>
  <si>
    <t>28110-000</t>
  </si>
  <si>
    <t>Campos dos Goytacazes</t>
  </si>
  <si>
    <t>RJ</t>
  </si>
  <si>
    <t>Goytacazes</t>
  </si>
  <si>
    <t>Rua Serafim Pereira Neto</t>
  </si>
  <si>
    <t>DATA PGTO APLIC</t>
  </si>
  <si>
    <t>INDICADO POR</t>
  </si>
  <si>
    <t>DATA NASC</t>
  </si>
  <si>
    <t>OBSERVAÇÃO</t>
  </si>
  <si>
    <t>FORMA DE PAGAMENTO</t>
  </si>
  <si>
    <t>STATUS COBRANÇA</t>
  </si>
  <si>
    <t xml:space="preserve">Elica Pereira Heidemann </t>
  </si>
  <si>
    <t>Elicaheidemann10@hotmail.com</t>
  </si>
  <si>
    <t>LANA</t>
  </si>
  <si>
    <t>APROVADA</t>
  </si>
  <si>
    <t>BOLETO</t>
  </si>
  <si>
    <t>8X(1ª 20/06)</t>
  </si>
  <si>
    <t>R$2.723,00</t>
  </si>
  <si>
    <t>R$22.784,00</t>
  </si>
  <si>
    <t>61 99253-2223</t>
  </si>
  <si>
    <t xml:space="preserve">015.136.531-80 </t>
  </si>
  <si>
    <t>73700-000</t>
  </si>
  <si>
    <t>Padre Bernardo</t>
  </si>
  <si>
    <t>GO</t>
  </si>
  <si>
    <t>Vila Maria</t>
  </si>
  <si>
    <t>BRASIL</t>
  </si>
  <si>
    <t>Rua Sergipe</t>
  </si>
  <si>
    <t>Qd10 Lt 1</t>
  </si>
  <si>
    <t>20/06/2025</t>
  </si>
  <si>
    <t>BOLETO GERADO</t>
  </si>
  <si>
    <t>Iza Rafaela Bezerra Pionorio Freires</t>
  </si>
  <si>
    <t>izarafaelabezerrapf@gmail.com</t>
  </si>
  <si>
    <t>KLEBER</t>
  </si>
  <si>
    <t>15/11/1989</t>
  </si>
  <si>
    <t>7X (1ª DIA 10/07)</t>
  </si>
  <si>
    <t>R$3.082,51</t>
  </si>
  <si>
    <t>R$22.577,57</t>
  </si>
  <si>
    <t>25/05/2025</t>
  </si>
  <si>
    <t>75 98887-5885</t>
  </si>
  <si>
    <t>042.551.595-80</t>
  </si>
  <si>
    <t>Paulo Afonso</t>
  </si>
  <si>
    <t>BA</t>
  </si>
  <si>
    <t>General Dutra</t>
  </si>
  <si>
    <t>Rua Alberto Rocha</t>
  </si>
  <si>
    <t>23/07/2025</t>
  </si>
  <si>
    <t>Amanda Carolina Torquato</t>
  </si>
  <si>
    <t>amanda.torquato17@gmail.com</t>
  </si>
  <si>
    <t>PAOLA</t>
  </si>
  <si>
    <t>17/08/1989</t>
  </si>
  <si>
    <r>
      <rPr>
        <sz val="14"/>
        <color rgb="FF000000"/>
        <rFont val="Segoe UI Semilight"/>
      </rPr>
      <t xml:space="preserve">APROVADA, em 4x pix  </t>
    </r>
    <r>
      <rPr>
        <b/>
        <sz val="14"/>
        <color rgb="FFFF0000"/>
        <rFont val="Segoe UI Semilight"/>
      </rPr>
      <t xml:space="preserve">ACOMPANHAR PGT/ </t>
    </r>
    <r>
      <rPr>
        <b/>
        <sz val="14"/>
        <color rgb="FF4EA72E"/>
        <rFont val="Segoe UI Semilight"/>
      </rPr>
      <t>PGT EM DIA</t>
    </r>
  </si>
  <si>
    <t>3X (1ª 05/07)</t>
  </si>
  <si>
    <t>R$5.000,00</t>
  </si>
  <si>
    <t>R$20.000,00</t>
  </si>
  <si>
    <t>28/05/2025</t>
  </si>
  <si>
    <t>44 7535 031017</t>
  </si>
  <si>
    <t>372.722.378-21</t>
  </si>
  <si>
    <t>13219-510</t>
  </si>
  <si>
    <t>Jundiaí</t>
  </si>
  <si>
    <t>Cidade Nova</t>
  </si>
  <si>
    <t>Rua José Artur Savieto</t>
  </si>
  <si>
    <t>Thaís Olímpia G. Agostinho</t>
  </si>
  <si>
    <t>thaisolimpia@outlook.com</t>
  </si>
  <si>
    <t>IG SACHA</t>
  </si>
  <si>
    <t>6x (1ª 16/06)</t>
  </si>
  <si>
    <t>R$1.597,00</t>
  </si>
  <si>
    <t>R$ 20.922,00</t>
  </si>
  <si>
    <t>15 99125-1977</t>
  </si>
  <si>
    <t>351.122.158-79</t>
  </si>
  <si>
    <t>18055-680</t>
  </si>
  <si>
    <t>Sorocaba</t>
  </si>
  <si>
    <t>Ouro Fino</t>
  </si>
  <si>
    <t>Rua Dr José Stilitano</t>
  </si>
  <si>
    <t>16/06/2025</t>
  </si>
  <si>
    <t xml:space="preserve">Jayne Maia Montoro </t>
  </si>
  <si>
    <t>Jayne_223@hotmail.com</t>
  </si>
  <si>
    <t>22/03/1993</t>
  </si>
  <si>
    <t>PIX</t>
  </si>
  <si>
    <t>17/06/2025</t>
  </si>
  <si>
    <t>11 98694-4662</t>
  </si>
  <si>
    <t>417.481.688-35</t>
  </si>
  <si>
    <t>02976-050</t>
  </si>
  <si>
    <t xml:space="preserve"> Vila Zat</t>
  </si>
  <si>
    <t>Rua Sebastiao Días</t>
  </si>
  <si>
    <t>Mariana Ribeiro G. Watanabe</t>
  </si>
  <si>
    <t>Mariana.mguimaraes@hotmail.com</t>
  </si>
  <si>
    <t>ISA</t>
  </si>
  <si>
    <t>22/09/1997</t>
  </si>
  <si>
    <t>APROVADA, pagou 10k no pix dia 14/07 e 10k 16/07</t>
  </si>
  <si>
    <t xml:space="preserve"> 07/07/2025</t>
  </si>
  <si>
    <t>62 98130-3014</t>
  </si>
  <si>
    <t>049.833.831-23</t>
  </si>
  <si>
    <t xml:space="preserve">Goiânia </t>
  </si>
  <si>
    <t xml:space="preserve">conjunto riviera </t>
  </si>
  <si>
    <t>rua perimetral</t>
  </si>
  <si>
    <t>chácara 4 casa 2</t>
  </si>
  <si>
    <t xml:space="preserve">Graziely Norberto Bernardo </t>
  </si>
  <si>
    <t>graziely85@yahoo.com</t>
  </si>
  <si>
    <t xml:space="preserve">APROVADA </t>
  </si>
  <si>
    <t>6x (1ª 20/07)</t>
  </si>
  <si>
    <t>R$3.502,00</t>
  </si>
  <si>
    <t xml:space="preserve"> R$22.012,00 </t>
  </si>
  <si>
    <t>+1 (508) 282-2075</t>
  </si>
  <si>
    <t>077.297.726-71</t>
  </si>
  <si>
    <t>34008-053</t>
  </si>
  <si>
    <t>Nova Lima</t>
  </si>
  <si>
    <t>Vale dos Cristais</t>
  </si>
  <si>
    <t>Rua das Cores</t>
  </si>
  <si>
    <t>Torre 2 Apto 201</t>
  </si>
  <si>
    <t>Ana Mara Santos Scaravate</t>
  </si>
  <si>
    <t>anamarascaravate@gmail.com</t>
  </si>
  <si>
    <t>TANIA</t>
  </si>
  <si>
    <t>6x (1ª 08/08)</t>
  </si>
  <si>
    <t>R$22.012,00</t>
  </si>
  <si>
    <t>16 99626-1459</t>
  </si>
  <si>
    <t>308.778.478-86</t>
  </si>
  <si>
    <t>14.021-179</t>
  </si>
  <si>
    <t xml:space="preserve">Ribeirão Preto </t>
  </si>
  <si>
    <t>City Ribeirão</t>
  </si>
  <si>
    <t>Rua Abrahão Nahas</t>
  </si>
  <si>
    <t xml:space="preserve"> Jadelma Machado F. Menezes</t>
  </si>
  <si>
    <t>jadelma10@hotmail.com</t>
  </si>
  <si>
    <t>23/03/1968</t>
  </si>
  <si>
    <t>13/07/2025</t>
  </si>
  <si>
    <t>61 99938-3388</t>
  </si>
  <si>
    <t>508.173.455-15</t>
  </si>
  <si>
    <t>683-640</t>
  </si>
  <si>
    <t>BRASILIA</t>
  </si>
  <si>
    <t>NOROESTE</t>
  </si>
  <si>
    <t>SQNW</t>
  </si>
  <si>
    <t>BLOCO B, APT 208</t>
  </si>
  <si>
    <t>ASSINADO PELO GOV</t>
  </si>
  <si>
    <t>Lucyara Araujo Simplicio</t>
  </si>
  <si>
    <t>lucyara8@hotmail.com</t>
  </si>
  <si>
    <t>14/08/1979</t>
  </si>
  <si>
    <t>APROVADA, pagou dia 16/07</t>
  </si>
  <si>
    <t xml:space="preserve">12X </t>
  </si>
  <si>
    <t>16/07/2025</t>
  </si>
  <si>
    <t>61 99216-5453</t>
  </si>
  <si>
    <t>703.221.121-68</t>
  </si>
  <si>
    <t>70755-150</t>
  </si>
  <si>
    <t>SQN 309</t>
  </si>
  <si>
    <t>Bloco O ap 109</t>
  </si>
  <si>
    <t>Gessica Tuany Santos Filgueiras</t>
  </si>
  <si>
    <t>gessicatuany@msn.com</t>
  </si>
  <si>
    <t>22/08/1989</t>
  </si>
  <si>
    <t>17/07/2025</t>
  </si>
  <si>
    <t>+1 501 4875452</t>
  </si>
  <si>
    <t>104.520.327-09</t>
  </si>
  <si>
    <t>26225-280</t>
  </si>
  <si>
    <t>Nova Iguaçu</t>
  </si>
  <si>
    <t>Essolandia</t>
  </si>
  <si>
    <t xml:space="preserve">Rua Manoel da Silva Falcão </t>
  </si>
  <si>
    <t>Ap 301</t>
  </si>
  <si>
    <t>Antônia Carmencita Ferreira Lima</t>
  </si>
  <si>
    <t>carmencitaflima@gmail.com</t>
  </si>
  <si>
    <t>TASSIA</t>
  </si>
  <si>
    <t>19/03/1983</t>
  </si>
  <si>
    <t>11 94104-0289</t>
  </si>
  <si>
    <t>329.045.878-45</t>
  </si>
  <si>
    <t>03621-040</t>
  </si>
  <si>
    <t>Vila Marieta</t>
  </si>
  <si>
    <t>Rua das Províncias</t>
  </si>
  <si>
    <t>/</t>
  </si>
  <si>
    <t>Nelci da Silva Dias</t>
  </si>
  <si>
    <t>nelci.dias30@gmail.com</t>
  </si>
  <si>
    <t>TAMARA</t>
  </si>
  <si>
    <t>30/08/1980</t>
  </si>
  <si>
    <t>6x (1ª 15/08)</t>
  </si>
  <si>
    <t>53 98439-5997</t>
  </si>
  <si>
    <t>970.862.150-15</t>
  </si>
  <si>
    <t>Três Vendas</t>
  </si>
  <si>
    <t>RS</t>
  </si>
  <si>
    <t>Santa Barbara</t>
  </si>
  <si>
    <t>15/08</t>
  </si>
  <si>
    <t xml:space="preserve">Carla Gaines </t>
  </si>
  <si>
    <t>carlacrivillarij@gmail.com</t>
  </si>
  <si>
    <t>16/09/1984</t>
  </si>
  <si>
    <t>6x 1ª (20/08)</t>
  </si>
  <si>
    <t>30/07/2025</t>
  </si>
  <si>
    <t>1 973 558-7256</t>
  </si>
  <si>
    <t>349.208.078-21</t>
  </si>
  <si>
    <t>Las Vegas</t>
  </si>
  <si>
    <t xml:space="preserve"> Via Locanda</t>
  </si>
  <si>
    <t>EUA</t>
  </si>
  <si>
    <t xml:space="preserve">Gabriela Alvares </t>
  </si>
  <si>
    <t>fsagabriela@gmail.com</t>
  </si>
  <si>
    <t>ALINA</t>
  </si>
  <si>
    <t>30/04/1993</t>
  </si>
  <si>
    <t>APROVADA, acompanhar pagamento PIX</t>
  </si>
  <si>
    <t>5x (1ª 09/08)</t>
  </si>
  <si>
    <t>R$3.800,00</t>
  </si>
  <si>
    <t>61 99659-2304</t>
  </si>
  <si>
    <t>042.621.221-58</t>
  </si>
  <si>
    <t>Anápolis</t>
  </si>
  <si>
    <t>Rua Elias Gomes</t>
  </si>
  <si>
    <t>Ap 2004</t>
  </si>
  <si>
    <t xml:space="preserve">Gabriela Santiago Pires </t>
  </si>
  <si>
    <t>Gabrielasantiagops@icloud.com</t>
  </si>
  <si>
    <t>IZA TIMOTE</t>
  </si>
  <si>
    <t>3X (1ª 05/09)</t>
  </si>
  <si>
    <t>62 98489-2747</t>
  </si>
  <si>
    <t>042.473.901-12</t>
  </si>
  <si>
    <t>Santa Rita</t>
  </si>
  <si>
    <t>Rua Eurípedes coutrins</t>
  </si>
  <si>
    <t>qd 7, lt 8</t>
  </si>
  <si>
    <t>Jessika Sales Ribeiro</t>
  </si>
  <si>
    <t>jessikasrn@gmail.com</t>
  </si>
  <si>
    <t>26/04/1995</t>
  </si>
  <si>
    <t>6x( 1ª 30/08)</t>
  </si>
  <si>
    <t>34 99291-5800</t>
  </si>
  <si>
    <t>110.218.206-01</t>
  </si>
  <si>
    <t>Uberlândia</t>
  </si>
  <si>
    <t>Bosque dos Buritis</t>
  </si>
  <si>
    <t>Alameda ficus</t>
  </si>
  <si>
    <t>Gabrielle Cristhine de Souza</t>
  </si>
  <si>
    <t>Gabriellefrancino@live.com</t>
  </si>
  <si>
    <t>23/11/1991</t>
  </si>
  <si>
    <t>6x 1ª(12/08)</t>
  </si>
  <si>
    <t>R$3.477,00</t>
  </si>
  <si>
    <t>17 98208-6502</t>
  </si>
  <si>
    <t>409.045.288-04</t>
  </si>
  <si>
    <t>Barretos</t>
  </si>
  <si>
    <t>Celina</t>
  </si>
  <si>
    <t>Rua 10,0604</t>
  </si>
  <si>
    <t>ANJO</t>
  </si>
  <si>
    <t>17/07/1989</t>
  </si>
  <si>
    <t xml:space="preserve">RENOVAÇAO </t>
  </si>
  <si>
    <t xml:space="preserve"> 372.857.618-26</t>
  </si>
  <si>
    <t>14/08/1991</t>
  </si>
  <si>
    <t>81 988563776</t>
  </si>
  <si>
    <t xml:space="preserve">Isa Araujo Leal </t>
  </si>
  <si>
    <t>isaaraujoleal@gmail.com</t>
  </si>
  <si>
    <t>021.560.561-61</t>
  </si>
  <si>
    <t>70239-180</t>
  </si>
  <si>
    <t>Asa Sul</t>
  </si>
  <si>
    <t xml:space="preserve">Sqs </t>
  </si>
  <si>
    <t>Bloco R, Ap 305</t>
  </si>
  <si>
    <t>Paola Marangoni</t>
  </si>
  <si>
    <t>drapaolamarangoni@gmail.com</t>
  </si>
  <si>
    <t>21 98636-2823</t>
  </si>
  <si>
    <t>22760-060</t>
  </si>
  <si>
    <t>Rio de Janeiro</t>
  </si>
  <si>
    <t>Jacarepaguá</t>
  </si>
  <si>
    <t>Travessa cunha Galvão</t>
  </si>
  <si>
    <t>Lana Crstina Sequeira Máximo</t>
  </si>
  <si>
    <t>5x (1ª10/09)</t>
  </si>
  <si>
    <t>R$879,00</t>
  </si>
  <si>
    <t xml:space="preserve"> R$7.395,00</t>
  </si>
  <si>
    <t>13/08/2025</t>
  </si>
  <si>
    <t>Tânia Cristina Souza Costa</t>
  </si>
  <si>
    <t>taniacristina.souzacosta@gmail.com</t>
  </si>
  <si>
    <t>5x (1ª 20/09)</t>
  </si>
  <si>
    <t>R$769,00</t>
  </si>
  <si>
    <t>R$4.345,00</t>
  </si>
  <si>
    <t>14/08/2025</t>
  </si>
  <si>
    <t>62 98441-4105</t>
  </si>
  <si>
    <t>002.478.741-83</t>
  </si>
  <si>
    <t>74863-020</t>
  </si>
  <si>
    <t>Jardim bela vista</t>
  </si>
  <si>
    <t xml:space="preserve">Avenida Araucária </t>
  </si>
  <si>
    <t xml:space="preserve"> Quadra P lote 10</t>
  </si>
  <si>
    <t>15/09/2025</t>
  </si>
  <si>
    <t>BOLETOGERADO</t>
  </si>
  <si>
    <t>Alina Ribeiro T Araujo</t>
  </si>
  <si>
    <t>RENOVAÇÃO, 1ª parcela pagamento via pix Pago 11/08</t>
  </si>
  <si>
    <t>6x (1ª 11/08)</t>
  </si>
  <si>
    <t>R$1.106,00</t>
  </si>
  <si>
    <t>R$7.636,00</t>
  </si>
  <si>
    <t>Tambauzinho</t>
  </si>
  <si>
    <t>Rua Professor Álvaro Carvalho</t>
  </si>
  <si>
    <t xml:space="preserve"> R$7.746,00</t>
  </si>
  <si>
    <t>15/08/2025</t>
  </si>
  <si>
    <t>Andiara Gabrielle de Oliveira de Medeiros</t>
  </si>
  <si>
    <t>gabrielledemedeiros@gmail.com</t>
  </si>
  <si>
    <t>JAYNE</t>
  </si>
  <si>
    <t xml:space="preserve">APROVADA , acompanhar pix </t>
  </si>
  <si>
    <t>3x (1ª 20/09)</t>
  </si>
  <si>
    <t>49 9971-2456</t>
  </si>
  <si>
    <t>042.535.959-01</t>
  </si>
  <si>
    <t>88523-010</t>
  </si>
  <si>
    <t>Lages</t>
  </si>
  <si>
    <t>Coral</t>
  </si>
  <si>
    <t>Rua 15 de Novembro</t>
  </si>
  <si>
    <t>Apto 2</t>
  </si>
  <si>
    <t>Anna Paula</t>
  </si>
  <si>
    <t>APROVADA , aguardando decisão financeira</t>
  </si>
  <si>
    <t>estornado</t>
  </si>
  <si>
    <t>Luciana Rolim da Costa</t>
  </si>
  <si>
    <t>costa.rolim@gmail.com</t>
  </si>
  <si>
    <t>Tassia</t>
  </si>
  <si>
    <t>AGUARDANDO</t>
  </si>
  <si>
    <t>92 99978-2408</t>
  </si>
  <si>
    <t>823.054.392-53</t>
  </si>
  <si>
    <t>Manaus</t>
  </si>
  <si>
    <t>AM</t>
  </si>
  <si>
    <t>Flores</t>
  </si>
  <si>
    <t>Rua Visconde de Porto Seguro</t>
  </si>
  <si>
    <t>N/A</t>
  </si>
  <si>
    <t>PARCELAS</t>
  </si>
  <si>
    <t xml:space="preserve"> VALOR DA PARCELA </t>
  </si>
  <si>
    <t>DOCUMENTO</t>
  </si>
  <si>
    <t>NÚMERO</t>
  </si>
  <si>
    <t>DATA DO PRIMEIRO VENCIMENTO</t>
  </si>
  <si>
    <t>Flavia Pereira Menezes</t>
  </si>
  <si>
    <t>(21) 96429-9308</t>
  </si>
  <si>
    <t>draflaviapmenezes@gmail.com</t>
  </si>
  <si>
    <t>Caroline Egger Cordeiro Cechet</t>
  </si>
  <si>
    <t>(55) 99141-6941</t>
  </si>
  <si>
    <t>caroliinecordeiro@hotmail.com</t>
  </si>
  <si>
    <t>Brenda Bastos de Lima Coelho</t>
  </si>
  <si>
    <t>(81) 99268-7881</t>
  </si>
  <si>
    <t>brendabcfa@hotmail.com</t>
  </si>
  <si>
    <t>(62) 98441-4105</t>
  </si>
  <si>
    <t>taniaccristina@hotmail.com</t>
  </si>
  <si>
    <t>Cynthia Moraes Medeiros</t>
  </si>
  <si>
    <t>(64) 99655-9688</t>
  </si>
  <si>
    <t>cynthiaesteta@gmail.com</t>
  </si>
  <si>
    <t>MENTORADOS NEONS</t>
  </si>
  <si>
    <t xml:space="preserve">Jayne Montoro </t>
  </si>
  <si>
    <t xml:space="preserve">Isa Leal </t>
  </si>
  <si>
    <t>Lana Máximo</t>
  </si>
  <si>
    <t>Tânia Cristina</t>
  </si>
  <si>
    <t>NEON</t>
  </si>
  <si>
    <t>Alina Targino</t>
  </si>
  <si>
    <t>REN NEON</t>
  </si>
  <si>
    <t>Tamara</t>
  </si>
  <si>
    <t>Pietra Boneli Magno da Silva</t>
  </si>
  <si>
    <t>TRINTAE3</t>
  </si>
  <si>
    <t xml:space="preserve">Total vendido nos dias de evento </t>
  </si>
  <si>
    <t>ALUNO</t>
  </si>
  <si>
    <t>VALOR</t>
  </si>
  <si>
    <t>COM JUROS</t>
  </si>
  <si>
    <t>COMISSAO</t>
  </si>
  <si>
    <t>Coluna2</t>
  </si>
  <si>
    <t>Coluna1</t>
  </si>
  <si>
    <t>NOVO</t>
  </si>
  <si>
    <t>JUNHO</t>
  </si>
  <si>
    <t>JULHO</t>
  </si>
  <si>
    <t>AGOSTO</t>
  </si>
  <si>
    <t>RENOVAÇAO</t>
  </si>
  <si>
    <t xml:space="preserve">19 novos 4 renovações pagas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</si>
</sst>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$&quot;#,##0.00"/>
    <numFmt numFmtId="165" formatCode="[$R$-416]\ #,##0.00"/>
    <numFmt numFmtId="166" formatCode="_-[$R$-416]\ * #,##0.00_-;\-[$R$-416]\ * #,##0.00_-;_-[$R$-416]\ * &quot;-&quot;??_-;_-@_-"/>
    <numFmt numFmtId="167" formatCode="00000\-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Segoe UI Semilight"/>
      <family val="2"/>
    </font>
    <font>
      <u/>
      <sz val="11"/>
      <color theme="10"/>
      <name val="Aptos Narrow"/>
      <family val="2"/>
      <scheme val="minor"/>
    </font>
    <font>
      <b/>
      <sz val="14"/>
      <color rgb="FF000000"/>
      <name val="Segoe UI Semilight"/>
    </font>
    <font>
      <sz val="14"/>
      <color rgb="FF000000"/>
      <name val="Segoe UI Semilight"/>
    </font>
    <font>
      <b/>
      <sz val="14"/>
      <color rgb="FF000000"/>
      <name val="Segoe UI Semilight"/>
      <family val="2"/>
    </font>
    <font>
      <sz val="14"/>
      <color rgb="FF000000"/>
      <name val="Segoe UI Semilight"/>
      <family val="2"/>
    </font>
    <font>
      <u/>
      <sz val="14"/>
      <color theme="10"/>
      <name val="Segoe UI Semilight"/>
      <family val="2"/>
    </font>
    <font>
      <sz val="12"/>
      <color theme="1"/>
      <name val="Segoe UI Semilight"/>
      <family val="2"/>
    </font>
    <font>
      <sz val="14"/>
      <color rgb="FF000000"/>
      <name val="Segoe UI Semilight"/>
      <charset val="1"/>
    </font>
    <font>
      <b/>
      <sz val="14"/>
      <color rgb="FFFF0000"/>
      <name val="Segoe UI Semilight"/>
    </font>
    <font>
      <b/>
      <sz val="14"/>
      <color rgb="FF4EA72E"/>
      <name val="Segoe UI Semilight"/>
    </font>
    <font>
      <sz val="14"/>
      <color theme="1"/>
      <name val="Aptos Narrow"/>
      <family val="2"/>
      <scheme val="minor"/>
    </font>
    <font>
      <sz val="14"/>
      <color theme="1"/>
      <name val="Segoe UI Semilight"/>
    </font>
    <font>
      <sz val="14"/>
      <color theme="1"/>
      <name val="Segoe UI Semilight"/>
      <charset val="1"/>
    </font>
    <font>
      <sz val="10"/>
      <color theme="1"/>
      <name val="Arial"/>
      <charset val="1"/>
    </font>
    <font>
      <b/>
      <sz val="12"/>
      <color theme="1"/>
      <name val="Aptos Narrow"/>
      <family val="2"/>
      <scheme val="minor"/>
    </font>
    <font>
      <sz val="14"/>
      <color theme="1"/>
      <name val="Segoe UI"/>
    </font>
    <font>
      <sz val="11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93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1" xfId="0" applyFont="1" applyBorder="1"/>
    <xf numFmtId="44" fontId="6" fillId="0" borderId="1" xfId="1" applyFont="1" applyBorder="1"/>
    <xf numFmtId="14" fontId="6" fillId="0" borderId="1" xfId="0" applyNumberFormat="1" applyFont="1" applyBorder="1"/>
    <xf numFmtId="0" fontId="7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4" fontId="7" fillId="0" borderId="1" xfId="1" applyFont="1" applyBorder="1"/>
    <xf numFmtId="14" fontId="7" fillId="0" borderId="1" xfId="0" applyNumberFormat="1" applyFont="1" applyBorder="1"/>
    <xf numFmtId="0" fontId="8" fillId="0" borderId="1" xfId="3" applyFont="1" applyBorder="1"/>
    <xf numFmtId="44" fontId="2" fillId="0" borderId="1" xfId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5" fillId="0" borderId="0" xfId="0" applyNumberFormat="1" applyFont="1"/>
    <xf numFmtId="14" fontId="2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2"/>
    <xf numFmtId="164" fontId="5" fillId="0" borderId="0" xfId="0" applyNumberFormat="1" applyFont="1"/>
    <xf numFmtId="165" fontId="5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2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2" borderId="0" xfId="0" applyFont="1" applyFill="1"/>
    <xf numFmtId="8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center"/>
    </xf>
    <xf numFmtId="14" fontId="5" fillId="2" borderId="0" xfId="0" applyNumberFormat="1" applyFont="1" applyFill="1"/>
    <xf numFmtId="165" fontId="5" fillId="2" borderId="0" xfId="0" applyNumberFormat="1" applyFont="1" applyFill="1"/>
    <xf numFmtId="0" fontId="3" fillId="2" borderId="0" xfId="3" applyFill="1"/>
    <xf numFmtId="0" fontId="3" fillId="2" borderId="0" xfId="2" applyFill="1"/>
    <xf numFmtId="0" fontId="7" fillId="2" borderId="1" xfId="0" applyFont="1" applyFill="1" applyBorder="1"/>
    <xf numFmtId="0" fontId="2" fillId="2" borderId="1" xfId="0" applyFont="1" applyFill="1" applyBorder="1"/>
    <xf numFmtId="44" fontId="7" fillId="2" borderId="1" xfId="1" applyFont="1" applyFill="1" applyBorder="1"/>
    <xf numFmtId="14" fontId="7" fillId="2" borderId="1" xfId="0" applyNumberFormat="1" applyFont="1" applyFill="1" applyBorder="1"/>
    <xf numFmtId="0" fontId="3" fillId="2" borderId="1" xfId="2" applyFill="1" applyBorder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2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8" fontId="5" fillId="0" borderId="2" xfId="0" applyNumberFormat="1" applyFont="1" applyBorder="1" applyAlignment="1">
      <alignment horizontal="center"/>
    </xf>
    <xf numFmtId="166" fontId="5" fillId="0" borderId="2" xfId="0" applyNumberFormat="1" applyFont="1" applyBorder="1"/>
    <xf numFmtId="14" fontId="5" fillId="0" borderId="2" xfId="0" applyNumberFormat="1" applyFont="1" applyBorder="1" applyAlignment="1">
      <alignment horizontal="center"/>
    </xf>
    <xf numFmtId="0" fontId="3" fillId="0" borderId="2" xfId="2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wrapText="1"/>
    </xf>
    <xf numFmtId="0" fontId="3" fillId="0" borderId="2" xfId="2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3" fillId="3" borderId="2" xfId="2" applyNumberForma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49" fontId="3" fillId="3" borderId="2" xfId="3" applyNumberFormat="1" applyFill="1" applyBorder="1" applyAlignment="1">
      <alignment horizontal="center" vertical="center"/>
    </xf>
    <xf numFmtId="167" fontId="2" fillId="3" borderId="2" xfId="0" applyNumberFormat="1" applyFont="1" applyFill="1" applyBorder="1" applyAlignment="1">
      <alignment horizontal="center" vertical="center"/>
    </xf>
    <xf numFmtId="49" fontId="3" fillId="0" borderId="2" xfId="3" applyNumberForma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49" fontId="3" fillId="3" borderId="0" xfId="2" applyNumberFormat="1" applyFill="1" applyBorder="1" applyAlignment="1">
      <alignment horizontal="center" vertical="center"/>
    </xf>
    <xf numFmtId="0" fontId="0" fillId="0" borderId="2" xfId="0" applyBorder="1"/>
    <xf numFmtId="0" fontId="5" fillId="3" borderId="2" xfId="0" applyFont="1" applyFill="1" applyBorder="1"/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44" fontId="6" fillId="0" borderId="8" xfId="1" applyFont="1" applyBorder="1"/>
    <xf numFmtId="0" fontId="6" fillId="0" borderId="2" xfId="0" applyFont="1" applyBorder="1" applyAlignment="1">
      <alignment horizontal="center"/>
    </xf>
    <xf numFmtId="14" fontId="6" fillId="0" borderId="9" xfId="0" applyNumberFormat="1" applyFont="1" applyBorder="1" applyAlignment="1">
      <alignment horizontal="center"/>
    </xf>
    <xf numFmtId="0" fontId="0" fillId="0" borderId="4" xfId="0" applyBorder="1"/>
    <xf numFmtId="0" fontId="6" fillId="0" borderId="10" xfId="0" applyFont="1" applyBorder="1" applyAlignment="1">
      <alignment horizontal="center"/>
    </xf>
    <xf numFmtId="0" fontId="0" fillId="0" borderId="3" xfId="0" applyBorder="1"/>
    <xf numFmtId="0" fontId="6" fillId="0" borderId="4" xfId="0" applyFont="1" applyBorder="1" applyAlignment="1">
      <alignment horizontal="center"/>
    </xf>
    <xf numFmtId="0" fontId="5" fillId="3" borderId="4" xfId="0" applyFont="1" applyFill="1" applyBorder="1"/>
    <xf numFmtId="0" fontId="6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/>
    <xf numFmtId="0" fontId="13" fillId="0" borderId="2" xfId="0" applyFont="1" applyBorder="1"/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4" fillId="0" borderId="3" xfId="0" applyFont="1" applyBorder="1"/>
    <xf numFmtId="0" fontId="5" fillId="0" borderId="3" xfId="0" applyFont="1" applyBorder="1"/>
    <xf numFmtId="0" fontId="3" fillId="3" borderId="2" xfId="2" applyFill="1" applyBorder="1" applyAlignment="1">
      <alignment horizontal="center"/>
    </xf>
    <xf numFmtId="0" fontId="3" fillId="0" borderId="3" xfId="2" applyBorder="1" applyAlignment="1">
      <alignment horizontal="center"/>
    </xf>
    <xf numFmtId="0" fontId="14" fillId="0" borderId="5" xfId="0" applyFont="1" applyBorder="1"/>
    <xf numFmtId="0" fontId="0" fillId="0" borderId="7" xfId="0" applyBorder="1"/>
    <xf numFmtId="0" fontId="6" fillId="0" borderId="5" xfId="0" applyFont="1" applyBorder="1" applyAlignment="1">
      <alignment horizontal="center"/>
    </xf>
    <xf numFmtId="0" fontId="5" fillId="3" borderId="5" xfId="0" applyFont="1" applyFill="1" applyBorder="1"/>
    <xf numFmtId="0" fontId="0" fillId="0" borderId="11" xfId="0" applyBorder="1"/>
    <xf numFmtId="0" fontId="0" fillId="3" borderId="2" xfId="0" applyFill="1" applyBorder="1"/>
    <xf numFmtId="0" fontId="6" fillId="0" borderId="6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0" fillId="0" borderId="13" xfId="0" applyBorder="1"/>
    <xf numFmtId="0" fontId="5" fillId="3" borderId="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5" fillId="0" borderId="14" xfId="0" applyFont="1" applyBorder="1" applyAlignment="1">
      <alignment readingOrder="1"/>
    </xf>
    <xf numFmtId="0" fontId="15" fillId="0" borderId="14" xfId="0" applyFont="1" applyBorder="1" applyAlignment="1">
      <alignment horizontal="center" readingOrder="1"/>
    </xf>
    <xf numFmtId="14" fontId="15" fillId="0" borderId="14" xfId="0" applyNumberFormat="1" applyFont="1" applyBorder="1" applyAlignment="1">
      <alignment horizontal="center" readingOrder="1"/>
    </xf>
    <xf numFmtId="0" fontId="15" fillId="3" borderId="2" xfId="0" applyFont="1" applyFill="1" applyBorder="1" applyAlignment="1">
      <alignment horizontal="center" readingOrder="1"/>
    </xf>
    <xf numFmtId="166" fontId="2" fillId="0" borderId="6" xfId="0" applyNumberFormat="1" applyFont="1" applyBorder="1" applyAlignment="1">
      <alignment vertical="center"/>
    </xf>
    <xf numFmtId="0" fontId="14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5" fillId="4" borderId="2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readingOrder="1"/>
    </xf>
    <xf numFmtId="0" fontId="2" fillId="0" borderId="4" xfId="0" applyFont="1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66" fontId="5" fillId="0" borderId="3" xfId="0" applyNumberFormat="1" applyFont="1" applyBorder="1"/>
    <xf numFmtId="166" fontId="2" fillId="0" borderId="2" xfId="0" applyNumberFormat="1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left"/>
    </xf>
    <xf numFmtId="166" fontId="2" fillId="3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3" borderId="2" xfId="2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5" fillId="3" borderId="15" xfId="0" applyFont="1" applyFill="1" applyBorder="1" applyAlignment="1">
      <alignment horizontal="center" readingOrder="1"/>
    </xf>
    <xf numFmtId="0" fontId="15" fillId="3" borderId="14" xfId="0" applyFont="1" applyFill="1" applyBorder="1" applyAlignment="1">
      <alignment horizontal="center" readingOrder="1"/>
    </xf>
    <xf numFmtId="0" fontId="15" fillId="3" borderId="2" xfId="0" applyFont="1" applyFill="1" applyBorder="1" applyAlignment="1">
      <alignment readingOrder="1"/>
    </xf>
    <xf numFmtId="14" fontId="15" fillId="3" borderId="11" xfId="0" applyNumberFormat="1" applyFont="1" applyFill="1" applyBorder="1" applyAlignment="1">
      <alignment horizontal="center" readingOrder="1"/>
    </xf>
    <xf numFmtId="0" fontId="15" fillId="3" borderId="15" xfId="0" applyFont="1" applyFill="1" applyBorder="1" applyAlignment="1">
      <alignment readingOrder="1"/>
    </xf>
    <xf numFmtId="0" fontId="15" fillId="3" borderId="14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14" fontId="15" fillId="3" borderId="15" xfId="0" applyNumberFormat="1" applyFont="1" applyFill="1" applyBorder="1" applyAlignment="1">
      <alignment readingOrder="1"/>
    </xf>
    <xf numFmtId="0" fontId="2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5" fillId="0" borderId="5" xfId="0" applyFont="1" applyBorder="1" applyAlignment="1">
      <alignment horizontal="center" readingOrder="1"/>
    </xf>
    <xf numFmtId="0" fontId="14" fillId="0" borderId="17" xfId="0" applyFont="1" applyBorder="1" applyAlignment="1">
      <alignment horizontal="center"/>
    </xf>
    <xf numFmtId="0" fontId="3" fillId="0" borderId="5" xfId="2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3" fillId="0" borderId="6" xfId="2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3" fillId="0" borderId="6" xfId="2" applyBorder="1" applyAlignment="1">
      <alignment horizontal="center"/>
    </xf>
    <xf numFmtId="49" fontId="3" fillId="3" borderId="4" xfId="2" applyNumberForma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7" fontId="2" fillId="3" borderId="3" xfId="0" applyNumberFormat="1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15" fillId="0" borderId="20" xfId="0" applyFont="1" applyBorder="1" applyAlignment="1">
      <alignment horizontal="center" readingOrder="1"/>
    </xf>
    <xf numFmtId="0" fontId="2" fillId="3" borderId="18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readingOrder="1"/>
    </xf>
    <xf numFmtId="0" fontId="15" fillId="3" borderId="5" xfId="0" applyFont="1" applyFill="1" applyBorder="1" applyAlignment="1">
      <alignment horizontal="center" readingOrder="1"/>
    </xf>
    <xf numFmtId="14" fontId="2" fillId="3" borderId="18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3" fillId="0" borderId="8" xfId="2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10" fillId="0" borderId="0" xfId="0" applyFont="1"/>
    <xf numFmtId="0" fontId="17" fillId="0" borderId="2" xfId="0" applyFont="1" applyBorder="1" applyAlignment="1">
      <alignment horizontal="center"/>
    </xf>
    <xf numFmtId="0" fontId="17" fillId="0" borderId="0" xfId="0" applyFont="1"/>
    <xf numFmtId="14" fontId="4" fillId="0" borderId="0" xfId="0" applyNumberFormat="1" applyFont="1"/>
    <xf numFmtId="14" fontId="5" fillId="0" borderId="0" xfId="0" applyNumberFormat="1" applyFont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2" fillId="3" borderId="4" xfId="0" applyFont="1" applyFill="1" applyBorder="1" applyAlignment="1">
      <alignment horizontal="left" vertical="center"/>
    </xf>
    <xf numFmtId="166" fontId="5" fillId="0" borderId="4" xfId="0" applyNumberFormat="1" applyFont="1" applyBorder="1" applyAlignment="1">
      <alignment horizontal="center"/>
    </xf>
    <xf numFmtId="0" fontId="15" fillId="4" borderId="4" xfId="0" applyFont="1" applyFill="1" applyBorder="1" applyAlignment="1">
      <alignment horizontal="center" readingOrder="1"/>
    </xf>
    <xf numFmtId="166" fontId="18" fillId="0" borderId="6" xfId="0" applyNumberFormat="1" applyFont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0" fillId="0" borderId="2" xfId="0" applyNumberFormat="1" applyBorder="1"/>
    <xf numFmtId="166" fontId="0" fillId="0" borderId="0" xfId="0" applyNumberFormat="1"/>
    <xf numFmtId="0" fontId="13" fillId="0" borderId="2" xfId="0" applyFont="1" applyBorder="1" applyAlignment="1">
      <alignment horizontal="center"/>
    </xf>
    <xf numFmtId="14" fontId="2" fillId="0" borderId="16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 vertical="center"/>
    </xf>
    <xf numFmtId="166" fontId="15" fillId="0" borderId="5" xfId="0" applyNumberFormat="1" applyFont="1" applyBorder="1" applyAlignment="1">
      <alignment horizontal="center" readingOrder="1"/>
    </xf>
    <xf numFmtId="166" fontId="2" fillId="3" borderId="0" xfId="0" applyNumberFormat="1" applyFont="1" applyFill="1" applyAlignment="1">
      <alignment horizontal="center" vertical="center"/>
    </xf>
    <xf numFmtId="166" fontId="15" fillId="3" borderId="13" xfId="0" applyNumberFormat="1" applyFont="1" applyFill="1" applyBorder="1" applyAlignment="1">
      <alignment horizontal="center" readingOrder="1"/>
    </xf>
    <xf numFmtId="165" fontId="4" fillId="0" borderId="4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readingOrder="1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165" fontId="15" fillId="3" borderId="3" xfId="0" applyNumberFormat="1" applyFont="1" applyFill="1" applyBorder="1" applyAlignment="1">
      <alignment horizontal="center" readingOrder="1"/>
    </xf>
    <xf numFmtId="165" fontId="5" fillId="0" borderId="3" xfId="0" applyNumberFormat="1" applyFon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right"/>
    </xf>
    <xf numFmtId="166" fontId="2" fillId="0" borderId="0" xfId="0" applyNumberFormat="1" applyFont="1" applyAlignment="1">
      <alignment horizontal="right" vertical="center"/>
    </xf>
    <xf numFmtId="166" fontId="2" fillId="3" borderId="0" xfId="0" applyNumberFormat="1" applyFont="1" applyFill="1" applyAlignment="1">
      <alignment horizontal="right" vertical="center"/>
    </xf>
    <xf numFmtId="166" fontId="15" fillId="3" borderId="0" xfId="0" applyNumberFormat="1" applyFont="1" applyFill="1" applyAlignment="1">
      <alignment horizontal="right" readingOrder="1"/>
    </xf>
    <xf numFmtId="166" fontId="5" fillId="0" borderId="0" xfId="0" applyNumberFormat="1" applyFont="1" applyAlignment="1">
      <alignment horizontal="right"/>
    </xf>
    <xf numFmtId="0" fontId="19" fillId="0" borderId="0" xfId="0" applyFont="1"/>
    <xf numFmtId="166" fontId="19" fillId="0" borderId="0" xfId="0" applyNumberFormat="1" applyFont="1"/>
    <xf numFmtId="166" fontId="19" fillId="0" borderId="0" xfId="0" applyNumberFormat="1" applyFont="1" applyAlignment="1">
      <alignment horizontal="right"/>
    </xf>
    <xf numFmtId="0" fontId="20" fillId="0" borderId="2" xfId="0" applyFont="1" applyBorder="1" applyAlignment="1">
      <alignment horizontal="center" vertical="center"/>
    </xf>
    <xf numFmtId="166" fontId="21" fillId="0" borderId="2" xfId="0" applyNumberFormat="1" applyFont="1" applyBorder="1" applyAlignment="1">
      <alignment horizontal="right"/>
    </xf>
    <xf numFmtId="166" fontId="20" fillId="0" borderId="2" xfId="0" applyNumberFormat="1" applyFont="1" applyBorder="1" applyAlignment="1">
      <alignment horizontal="right" vertical="center"/>
    </xf>
    <xf numFmtId="0" fontId="21" fillId="0" borderId="2" xfId="0" applyFont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4" borderId="2" xfId="0" applyFont="1" applyFill="1" applyBorder="1"/>
    <xf numFmtId="166" fontId="21" fillId="3" borderId="2" xfId="0" applyNumberFormat="1" applyFont="1" applyFill="1" applyBorder="1" applyAlignment="1">
      <alignment horizontal="right"/>
    </xf>
    <xf numFmtId="0" fontId="21" fillId="4" borderId="2" xfId="0" applyFont="1" applyFill="1" applyBorder="1" applyAlignment="1">
      <alignment horizontal="center"/>
    </xf>
    <xf numFmtId="166" fontId="20" fillId="0" borderId="2" xfId="0" applyNumberFormat="1" applyFont="1" applyBorder="1" applyAlignment="1">
      <alignment horizontal="right"/>
    </xf>
    <xf numFmtId="0" fontId="20" fillId="4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readingOrder="1"/>
    </xf>
    <xf numFmtId="166" fontId="20" fillId="0" borderId="2" xfId="0" applyNumberFormat="1" applyFont="1" applyBorder="1" applyAlignment="1">
      <alignment horizontal="right" readingOrder="1"/>
    </xf>
    <xf numFmtId="0" fontId="20" fillId="4" borderId="6" xfId="0" applyFont="1" applyFill="1" applyBorder="1" applyAlignment="1">
      <alignment horizontal="center" vertical="center"/>
    </xf>
    <xf numFmtId="166" fontId="20" fillId="0" borderId="6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20" fillId="0" borderId="0" xfId="0" applyNumberFormat="1" applyFont="1"/>
    <xf numFmtId="166" fontId="20" fillId="0" borderId="2" xfId="0" applyNumberFormat="1" applyFont="1" applyBorder="1"/>
    <xf numFmtId="166" fontId="22" fillId="0" borderId="0" xfId="0" applyNumberFormat="1" applyFont="1"/>
    <xf numFmtId="166" fontId="20" fillId="0" borderId="6" xfId="0" applyNumberFormat="1" applyFont="1" applyBorder="1"/>
    <xf numFmtId="166" fontId="13" fillId="0" borderId="0" xfId="0" applyNumberFormat="1" applyFont="1"/>
    <xf numFmtId="0" fontId="4" fillId="0" borderId="0" xfId="0" applyFont="1" applyAlignment="1">
      <alignment horizontal="center" wrapText="1"/>
    </xf>
    <xf numFmtId="14" fontId="5" fillId="2" borderId="0" xfId="0" applyNumberFormat="1" applyFont="1" applyFill="1" applyAlignment="1">
      <alignment horizontal="right"/>
    </xf>
    <xf numFmtId="166" fontId="5" fillId="0" borderId="6" xfId="0" applyNumberFormat="1" applyFont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19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166" fontId="15" fillId="3" borderId="2" xfId="0" applyNumberFormat="1" applyFont="1" applyFill="1" applyBorder="1" applyAlignment="1">
      <alignment horizontal="center" readingOrder="1"/>
    </xf>
    <xf numFmtId="0" fontId="3" fillId="3" borderId="2" xfId="2" applyFill="1" applyBorder="1" applyAlignment="1">
      <alignment horizontal="center" readingOrder="1"/>
    </xf>
    <xf numFmtId="0" fontId="15" fillId="3" borderId="4" xfId="0" applyFont="1" applyFill="1" applyBorder="1" applyAlignment="1">
      <alignment horizontal="center" readingOrder="1"/>
    </xf>
    <xf numFmtId="0" fontId="2" fillId="3" borderId="17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readingOrder="1"/>
    </xf>
    <xf numFmtId="49" fontId="2" fillId="3" borderId="3" xfId="0" applyNumberFormat="1" applyFont="1" applyFill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readingOrder="1"/>
    </xf>
    <xf numFmtId="0" fontId="5" fillId="4" borderId="4" xfId="0" applyFont="1" applyFill="1" applyBorder="1"/>
    <xf numFmtId="0" fontId="5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3" fillId="3" borderId="5" xfId="2" applyFill="1" applyBorder="1" applyAlignment="1">
      <alignment horizontal="center"/>
    </xf>
    <xf numFmtId="0" fontId="3" fillId="0" borderId="11" xfId="2" applyBorder="1" applyAlignment="1">
      <alignment horizontal="center"/>
    </xf>
    <xf numFmtId="49" fontId="3" fillId="3" borderId="19" xfId="3" applyNumberFormat="1" applyFill="1" applyBorder="1" applyAlignment="1">
      <alignment horizontal="center" vertical="center"/>
    </xf>
    <xf numFmtId="0" fontId="3" fillId="0" borderId="5" xfId="2" applyBorder="1" applyAlignment="1">
      <alignment horizontal="center"/>
    </xf>
    <xf numFmtId="0" fontId="3" fillId="0" borderId="23" xfId="2" applyBorder="1" applyAlignment="1">
      <alignment horizontal="center"/>
    </xf>
    <xf numFmtId="0" fontId="3" fillId="0" borderId="19" xfId="2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</cellXfs>
  <cellStyles count="4">
    <cellStyle name="Hiperlink" xfId="3" builtinId="8"/>
    <cellStyle name="Hyperlink" xfId="2" xr:uid="{00000000-000B-0000-0000-000008000000}"/>
    <cellStyle name="Moeda" xfId="1" builtinId="4"/>
    <cellStyle name="Normal" xfId="0" builtinId="0"/>
  </cellStyles>
  <dxfs count="8">
    <dxf>
      <font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6" formatCode="_-[$R$-416]\ * #,##0.00_-;\-[$R$-416]\ * #,##0.00_-;_-[$R$-416]\ * &quot;-&quot;??_-;_-@_-"/>
      <alignment horizontal="center"/>
    </dxf>
    <dxf>
      <font>
        <name val="Aptos Narrow"/>
        <scheme val="minor"/>
      </font>
      <numFmt numFmtId="166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166" formatCode="_-[$R$-416]\ * #,##0.00_-;\-[$R$-416]\ * #,##0.00_-;_-[$R$-416]\ * &quot;-&quot;??_-;_-@_-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4"/>
        <name val="Aptos Narrow"/>
        <scheme val="minor"/>
      </font>
      <numFmt numFmtId="166" formatCode="_-[$R$-416]\ * #,##0.00_-;\-[$R$-416]\ * #,##0.00_-;_-[$R$-416]\ * &quot;-&quot;??_-;_-@_-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ptos Narrow"/>
        <scheme val="minor"/>
      </font>
    </dxf>
    <dxf>
      <font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7CCA3F43-F467-4DA1-B487-60721D8A7203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F96AE-1202-415C-95BB-45A4C091A2F7}" name="Tabela1" displayName="Tabela1" ref="A1:F30" totalsRowShown="0" headerRowDxfId="7" dataDxfId="6">
  <autoFilter ref="A1:F30" xr:uid="{864F96AE-1202-415C-95BB-45A4C091A2F7}"/>
  <tableColumns count="6">
    <tableColumn id="1" xr3:uid="{096FA7A2-5352-4F10-A442-DE3123F0376B}" name="ALUNO" dataDxfId="5"/>
    <tableColumn id="2" xr3:uid="{B7DD9F14-53AD-4635-B18D-727DEDB40AD3}" name="VALOR" dataDxfId="4"/>
    <tableColumn id="3" xr3:uid="{FB587F06-D208-42BC-A01B-873D7CEBE5A2}" name="COM JUROS" dataDxfId="3"/>
    <tableColumn id="4" xr3:uid="{EA820BCE-A063-4443-BCC5-048FA566800C}" name="COMISSAO" dataDxfId="2">
      <calculatedColumnFormula>Tabela1[[#This Row],[VALOR]]*2.5</calculatedColumnFormula>
    </tableColumn>
    <tableColumn id="6" xr3:uid="{00E037F7-8727-42B8-AEE9-A97F3B5DE4A0}" name="Coluna2" dataDxfId="1"/>
    <tableColumn id="5" xr3:uid="{F8B89755-612C-45BD-8120-C05CF2FDBCDE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4-11-11T20:49:03.69" personId="{7CCA3F43-F467-4DA1-B487-60721D8A7203}" id="{3FE102F9-667B-4592-ADE6-D5EFFF16C46B}">
    <text>Pagou a vista - pix</text>
  </threadedComment>
  <threadedComment ref="F5" dT="2024-11-04T18:57:05.63" personId="{7CCA3F43-F467-4DA1-B487-60721D8A7203}" id="{9794CB58-6487-46C6-BF0C-4AB51B27B4FC}">
    <text>Pagou R$ 9500 em 10x R$ 1118,44 no cartão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inaortodintista@yahoo.com.br" TargetMode="External"/><Relationship Id="rId13" Type="http://schemas.openxmlformats.org/officeDocument/2006/relationships/comments" Target="../comments1.xml"/><Relationship Id="rId3" Type="http://schemas.openxmlformats.org/officeDocument/2006/relationships/hyperlink" Target="mailto:Kleberoliveirags@gmail.com" TargetMode="External"/><Relationship Id="rId7" Type="http://schemas.openxmlformats.org/officeDocument/2006/relationships/hyperlink" Target="mailto:isaraujoleal@gmail.com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alinaribeiro27@outlook.com" TargetMode="External"/><Relationship Id="rId1" Type="http://schemas.openxmlformats.org/officeDocument/2006/relationships/hyperlink" Target="mailto:lohrane.farma@gmail.com" TargetMode="External"/><Relationship Id="rId6" Type="http://schemas.openxmlformats.org/officeDocument/2006/relationships/hyperlink" Target="mailto:bycareunai@gmail.com" TargetMode="External"/><Relationship Id="rId11" Type="http://schemas.openxmlformats.org/officeDocument/2006/relationships/hyperlink" Target="mailto:thaisccdesouza@hotmail.com" TargetMode="External"/><Relationship Id="rId5" Type="http://schemas.openxmlformats.org/officeDocument/2006/relationships/hyperlink" Target="mailto:daniboscainilira@gmail.com" TargetMode="External"/><Relationship Id="rId10" Type="http://schemas.openxmlformats.org/officeDocument/2006/relationships/hyperlink" Target="mailto:ivanna-27@hotmail.com" TargetMode="External"/><Relationship Id="rId4" Type="http://schemas.openxmlformats.org/officeDocument/2006/relationships/hyperlink" Target="mailto:nayanedermatoesteta@gmail.com" TargetMode="External"/><Relationship Id="rId9" Type="http://schemas.openxmlformats.org/officeDocument/2006/relationships/hyperlink" Target="mailto:thaismonteirodf@gmail.com" TargetMode="External"/><Relationship Id="rId1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cyara8@hotmail.com" TargetMode="External"/><Relationship Id="rId13" Type="http://schemas.openxmlformats.org/officeDocument/2006/relationships/hyperlink" Target="mailto:carlacrivillarij@gmail.com" TargetMode="External"/><Relationship Id="rId18" Type="http://schemas.openxmlformats.org/officeDocument/2006/relationships/hyperlink" Target="mailto:isaaraujoleal@gmail.com" TargetMode="External"/><Relationship Id="rId3" Type="http://schemas.openxmlformats.org/officeDocument/2006/relationships/hyperlink" Target="mailto:izarafaelabezerrapf@gmail.com" TargetMode="External"/><Relationship Id="rId21" Type="http://schemas.openxmlformats.org/officeDocument/2006/relationships/hyperlink" Target="mailto:Jayne_223@hotmail.com" TargetMode="External"/><Relationship Id="rId7" Type="http://schemas.openxmlformats.org/officeDocument/2006/relationships/hyperlink" Target="mailto:anamarascaravate@gmail.com" TargetMode="External"/><Relationship Id="rId12" Type="http://schemas.openxmlformats.org/officeDocument/2006/relationships/hyperlink" Target="mailto:nelci.dias30@gmail.com" TargetMode="External"/><Relationship Id="rId17" Type="http://schemas.openxmlformats.org/officeDocument/2006/relationships/hyperlink" Target="mailto:alinaribeiro27@outlook.com" TargetMode="External"/><Relationship Id="rId25" Type="http://schemas.openxmlformats.org/officeDocument/2006/relationships/hyperlink" Target="mailto:gabrielledemedeiros@gmail.com" TargetMode="External"/><Relationship Id="rId2" Type="http://schemas.openxmlformats.org/officeDocument/2006/relationships/hyperlink" Target="mailto:Elicaheidemann10@hotmail.com" TargetMode="External"/><Relationship Id="rId16" Type="http://schemas.openxmlformats.org/officeDocument/2006/relationships/hyperlink" Target="mailto:Gabriellefrancino@live.com" TargetMode="External"/><Relationship Id="rId20" Type="http://schemas.openxmlformats.org/officeDocument/2006/relationships/hyperlink" Target="mailto:Gabrielasantiagops@icloud.com" TargetMode="External"/><Relationship Id="rId1" Type="http://schemas.openxmlformats.org/officeDocument/2006/relationships/hyperlink" Target="mailto:graziely85@yahoo.com" TargetMode="External"/><Relationship Id="rId6" Type="http://schemas.openxmlformats.org/officeDocument/2006/relationships/hyperlink" Target="mailto:Mariana.mguimaraes@hotmail.com" TargetMode="External"/><Relationship Id="rId11" Type="http://schemas.openxmlformats.org/officeDocument/2006/relationships/hyperlink" Target="mailto:tassia.delmondes@gmail.com" TargetMode="External"/><Relationship Id="rId24" Type="http://schemas.openxmlformats.org/officeDocument/2006/relationships/hyperlink" Target="mailto:taniacristina.souzacosta@gmail.com" TargetMode="External"/><Relationship Id="rId5" Type="http://schemas.openxmlformats.org/officeDocument/2006/relationships/hyperlink" Target="mailto:thaisolimpia@outlook.com" TargetMode="External"/><Relationship Id="rId15" Type="http://schemas.openxmlformats.org/officeDocument/2006/relationships/hyperlink" Target="mailto:jessikasrn@gmail.com" TargetMode="External"/><Relationship Id="rId23" Type="http://schemas.openxmlformats.org/officeDocument/2006/relationships/hyperlink" Target="mailto:drapaolamarangoni@gmail.com" TargetMode="External"/><Relationship Id="rId10" Type="http://schemas.openxmlformats.org/officeDocument/2006/relationships/hyperlink" Target="mailto:Kleberoliveirags@gmail.com" TargetMode="External"/><Relationship Id="rId19" Type="http://schemas.openxmlformats.org/officeDocument/2006/relationships/hyperlink" Target="mailto:gessicatuany@msn.com" TargetMode="External"/><Relationship Id="rId4" Type="http://schemas.openxmlformats.org/officeDocument/2006/relationships/hyperlink" Target="mailto:amanda.torquato17@gmail.com" TargetMode="External"/><Relationship Id="rId9" Type="http://schemas.openxmlformats.org/officeDocument/2006/relationships/hyperlink" Target="mailto:carmencitaflima@gmail.com" TargetMode="External"/><Relationship Id="rId14" Type="http://schemas.openxmlformats.org/officeDocument/2006/relationships/hyperlink" Target="mailto:fsagabriela@gmail.com" TargetMode="External"/><Relationship Id="rId22" Type="http://schemas.openxmlformats.org/officeDocument/2006/relationships/hyperlink" Target="mailto:bycareunai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ynthiaesteta@gmail.com" TargetMode="External"/><Relationship Id="rId1" Type="http://schemas.openxmlformats.org/officeDocument/2006/relationships/hyperlink" Target="mailto:taniaccristina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assia.delmondes@gmail.com" TargetMode="External"/><Relationship Id="rId1" Type="http://schemas.openxmlformats.org/officeDocument/2006/relationships/hyperlink" Target="mailto:Kleberoliveirags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lucyara8@hotmail.com" TargetMode="External"/><Relationship Id="rId13" Type="http://schemas.openxmlformats.org/officeDocument/2006/relationships/hyperlink" Target="mailto:carlacrivillarij@gmail.com" TargetMode="External"/><Relationship Id="rId18" Type="http://schemas.openxmlformats.org/officeDocument/2006/relationships/hyperlink" Target="mailto:isaaraujoleal@gmail.com" TargetMode="External"/><Relationship Id="rId26" Type="http://schemas.openxmlformats.org/officeDocument/2006/relationships/hyperlink" Target="mailto:drapaolamarangoni@gmail.com" TargetMode="External"/><Relationship Id="rId3" Type="http://schemas.openxmlformats.org/officeDocument/2006/relationships/hyperlink" Target="mailto:izarafaelabezerrapf@gmail.com" TargetMode="External"/><Relationship Id="rId21" Type="http://schemas.openxmlformats.org/officeDocument/2006/relationships/hyperlink" Target="mailto:Jayne_223@hotmail.com" TargetMode="External"/><Relationship Id="rId7" Type="http://schemas.openxmlformats.org/officeDocument/2006/relationships/hyperlink" Target="mailto:anamarascaravate@gmail.com" TargetMode="External"/><Relationship Id="rId12" Type="http://schemas.openxmlformats.org/officeDocument/2006/relationships/hyperlink" Target="mailto:nelci.dias30@gmail.com" TargetMode="External"/><Relationship Id="rId17" Type="http://schemas.openxmlformats.org/officeDocument/2006/relationships/hyperlink" Target="mailto:alinaribeiro27@outlook.com" TargetMode="External"/><Relationship Id="rId25" Type="http://schemas.openxmlformats.org/officeDocument/2006/relationships/hyperlink" Target="mailto:taniacristina.souzacosta@gmail.com" TargetMode="External"/><Relationship Id="rId2" Type="http://schemas.openxmlformats.org/officeDocument/2006/relationships/hyperlink" Target="mailto:Elicaheidemann10@hotmail.com" TargetMode="External"/><Relationship Id="rId16" Type="http://schemas.openxmlformats.org/officeDocument/2006/relationships/hyperlink" Target="mailto:Gabriellefrancino@live.com" TargetMode="External"/><Relationship Id="rId20" Type="http://schemas.openxmlformats.org/officeDocument/2006/relationships/hyperlink" Target="mailto:Gabrielasantiagops@icloud.com" TargetMode="External"/><Relationship Id="rId1" Type="http://schemas.openxmlformats.org/officeDocument/2006/relationships/hyperlink" Target="mailto:graziely85@yahoo.com" TargetMode="External"/><Relationship Id="rId6" Type="http://schemas.openxmlformats.org/officeDocument/2006/relationships/hyperlink" Target="mailto:Mariana.mguimaraes@hotmail.com" TargetMode="External"/><Relationship Id="rId11" Type="http://schemas.openxmlformats.org/officeDocument/2006/relationships/hyperlink" Target="mailto:tassia.delmondes@gmail.com" TargetMode="External"/><Relationship Id="rId24" Type="http://schemas.openxmlformats.org/officeDocument/2006/relationships/hyperlink" Target="mailto:enftamaradilma@gmail.com" TargetMode="External"/><Relationship Id="rId5" Type="http://schemas.openxmlformats.org/officeDocument/2006/relationships/hyperlink" Target="mailto:thaisolimpia@outlook.com" TargetMode="External"/><Relationship Id="rId15" Type="http://schemas.openxmlformats.org/officeDocument/2006/relationships/hyperlink" Target="mailto:jessikasrn@gmail.com" TargetMode="External"/><Relationship Id="rId23" Type="http://schemas.openxmlformats.org/officeDocument/2006/relationships/hyperlink" Target="mailto:jadelma10@hotmail.com" TargetMode="External"/><Relationship Id="rId10" Type="http://schemas.openxmlformats.org/officeDocument/2006/relationships/hyperlink" Target="mailto:Kleberoliveirags@gmail.com" TargetMode="External"/><Relationship Id="rId19" Type="http://schemas.openxmlformats.org/officeDocument/2006/relationships/hyperlink" Target="mailto:gessicatuany@msn.com" TargetMode="External"/><Relationship Id="rId4" Type="http://schemas.openxmlformats.org/officeDocument/2006/relationships/hyperlink" Target="mailto:amanda.torquato17@gmail.com" TargetMode="External"/><Relationship Id="rId9" Type="http://schemas.openxmlformats.org/officeDocument/2006/relationships/hyperlink" Target="mailto:carmencitaflima@gmail.com" TargetMode="External"/><Relationship Id="rId14" Type="http://schemas.openxmlformats.org/officeDocument/2006/relationships/hyperlink" Target="mailto:fsagabriela@gmail.com" TargetMode="External"/><Relationship Id="rId22" Type="http://schemas.openxmlformats.org/officeDocument/2006/relationships/hyperlink" Target="mailto:bycareunai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AAF1-9D09-46D7-8156-9ACEB10B3C6B}">
  <dimension ref="A1:Y24"/>
  <sheetViews>
    <sheetView workbookViewId="0">
      <pane ySplit="1" topLeftCell="K2" activePane="bottomLeft" state="frozen"/>
      <selection pane="bottomLeft" activeCell="B18" sqref="B18"/>
    </sheetView>
  </sheetViews>
  <sheetFormatPr defaultColWidth="8.85546875" defaultRowHeight="21"/>
  <cols>
    <col min="1" max="1" width="4.28515625" style="1" bestFit="1" customWidth="1"/>
    <col min="2" max="2" width="42.28515625" style="1" bestFit="1" customWidth="1"/>
    <col min="3" max="5" width="18" style="1" customWidth="1"/>
    <col min="6" max="6" width="18.28515625" style="1" customWidth="1"/>
    <col min="7" max="7" width="20.5703125" style="1" customWidth="1"/>
    <col min="8" max="8" width="22.5703125" style="1" customWidth="1"/>
    <col min="9" max="9" width="22.42578125" style="17" customWidth="1"/>
    <col min="10" max="10" width="20.28515625" style="1" customWidth="1"/>
    <col min="11" max="11" width="20" style="1" customWidth="1"/>
    <col min="12" max="12" width="34.28515625" style="1" customWidth="1"/>
    <col min="13" max="13" width="13.140625" style="1" customWidth="1"/>
    <col min="14" max="14" width="31" style="1" bestFit="1" customWidth="1"/>
    <col min="15" max="15" width="11.7109375" style="1" customWidth="1"/>
    <col min="16" max="16" width="15.42578125" style="1" customWidth="1"/>
    <col min="17" max="17" width="7.7109375" style="1" customWidth="1"/>
    <col min="18" max="18" width="41.28515625" style="1" customWidth="1"/>
    <col min="19" max="19" width="12.28515625" style="1" customWidth="1"/>
    <col min="20" max="20" width="22.28515625" style="1" customWidth="1"/>
    <col min="21" max="21" width="15.28515625" style="1" customWidth="1"/>
    <col min="22" max="22" width="22.42578125" style="1" bestFit="1" customWidth="1"/>
    <col min="23" max="16384" width="8.85546875" style="1"/>
  </cols>
  <sheetData>
    <row r="1" spans="1:25" ht="42">
      <c r="A1" s="18" t="s">
        <v>0</v>
      </c>
      <c r="B1" s="18" t="s">
        <v>1</v>
      </c>
      <c r="C1" s="22" t="s">
        <v>2</v>
      </c>
      <c r="D1" s="22" t="s">
        <v>3</v>
      </c>
      <c r="E1" s="265" t="s">
        <v>4</v>
      </c>
      <c r="F1" s="22" t="s">
        <v>5</v>
      </c>
      <c r="G1" s="18" t="s">
        <v>6</v>
      </c>
      <c r="H1" s="22" t="s">
        <v>7</v>
      </c>
      <c r="I1" s="201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18" t="s">
        <v>15</v>
      </c>
      <c r="Q1" s="18" t="s">
        <v>16</v>
      </c>
      <c r="R1" s="22" t="s">
        <v>17</v>
      </c>
      <c r="S1" s="22" t="s">
        <v>18</v>
      </c>
      <c r="T1" s="18" t="s">
        <v>19</v>
      </c>
      <c r="U1" s="18" t="s">
        <v>20</v>
      </c>
      <c r="V1" s="18" t="s">
        <v>21</v>
      </c>
      <c r="W1" s="2" t="s">
        <v>22</v>
      </c>
      <c r="X1" s="2" t="s">
        <v>22</v>
      </c>
      <c r="Y1" s="2" t="s">
        <v>22</v>
      </c>
    </row>
    <row r="2" spans="1:25" s="45" customFormat="1">
      <c r="A2" s="30">
        <v>1</v>
      </c>
      <c r="B2" s="30" t="s">
        <v>23</v>
      </c>
      <c r="C2" s="31">
        <v>1000</v>
      </c>
      <c r="D2" s="203">
        <v>45566</v>
      </c>
      <c r="E2" s="203" t="s">
        <v>24</v>
      </c>
      <c r="F2" s="32">
        <v>6</v>
      </c>
      <c r="G2" s="36">
        <v>3400</v>
      </c>
      <c r="H2" s="34">
        <f>F2*G2</f>
        <v>20400</v>
      </c>
      <c r="I2" s="203">
        <v>45566</v>
      </c>
      <c r="J2" s="30" t="s">
        <v>25</v>
      </c>
      <c r="K2" s="30" t="s">
        <v>26</v>
      </c>
      <c r="L2" s="38" t="s">
        <v>27</v>
      </c>
      <c r="M2" s="32" t="s">
        <v>28</v>
      </c>
      <c r="N2" s="32" t="s">
        <v>29</v>
      </c>
      <c r="O2" s="32" t="s">
        <v>30</v>
      </c>
      <c r="P2" s="30" t="s">
        <v>31</v>
      </c>
      <c r="Q2" s="30" t="s">
        <v>32</v>
      </c>
      <c r="R2" s="30" t="s">
        <v>33</v>
      </c>
      <c r="S2" s="32">
        <v>261</v>
      </c>
      <c r="T2" s="30"/>
      <c r="U2" s="35">
        <v>45423</v>
      </c>
      <c r="V2" s="30" t="s">
        <v>34</v>
      </c>
      <c r="W2" s="30" t="s">
        <v>22</v>
      </c>
      <c r="X2" s="30" t="s">
        <v>22</v>
      </c>
      <c r="Y2" s="30" t="s">
        <v>22</v>
      </c>
    </row>
    <row r="3" spans="1:25">
      <c r="A3" s="2">
        <v>2</v>
      </c>
      <c r="B3" s="2" t="s">
        <v>35</v>
      </c>
      <c r="C3" s="20">
        <v>1000</v>
      </c>
      <c r="D3" s="202">
        <v>45566</v>
      </c>
      <c r="E3" s="202" t="s">
        <v>24</v>
      </c>
      <c r="F3" s="19">
        <v>6</v>
      </c>
      <c r="G3" s="25">
        <v>3400</v>
      </c>
      <c r="H3" s="21">
        <f>F3*G3</f>
        <v>20400</v>
      </c>
      <c r="I3" s="202">
        <v>45566</v>
      </c>
      <c r="J3" s="2" t="s">
        <v>36</v>
      </c>
      <c r="K3" s="2" t="s">
        <v>37</v>
      </c>
      <c r="L3" s="23" t="s">
        <v>38</v>
      </c>
      <c r="M3" s="19" t="s">
        <v>39</v>
      </c>
      <c r="N3" s="19" t="s">
        <v>40</v>
      </c>
      <c r="O3" s="19" t="s">
        <v>41</v>
      </c>
      <c r="P3" s="2" t="s">
        <v>42</v>
      </c>
      <c r="Q3" s="2" t="s">
        <v>32</v>
      </c>
      <c r="R3" s="2" t="s">
        <v>43</v>
      </c>
      <c r="S3" s="19">
        <v>6</v>
      </c>
      <c r="T3" s="2" t="s">
        <v>44</v>
      </c>
      <c r="U3" s="16">
        <v>45576</v>
      </c>
      <c r="V3" s="2" t="s">
        <v>34</v>
      </c>
      <c r="W3" s="2" t="s">
        <v>22</v>
      </c>
      <c r="X3" s="2" t="s">
        <v>22</v>
      </c>
      <c r="Y3" s="2" t="s">
        <v>22</v>
      </c>
    </row>
    <row r="4" spans="1:25" s="45" customFormat="1">
      <c r="A4" s="30">
        <v>3</v>
      </c>
      <c r="B4" s="44" t="s">
        <v>45</v>
      </c>
      <c r="C4" s="31">
        <v>1000</v>
      </c>
      <c r="D4" s="203">
        <v>45959</v>
      </c>
      <c r="E4" s="203" t="s">
        <v>24</v>
      </c>
      <c r="H4" s="34">
        <v>19000</v>
      </c>
      <c r="I4" s="203">
        <v>45594</v>
      </c>
      <c r="J4" s="45" t="s">
        <v>46</v>
      </c>
      <c r="K4" s="30"/>
      <c r="L4" s="38" t="s">
        <v>47</v>
      </c>
      <c r="M4" s="32" t="s">
        <v>48</v>
      </c>
      <c r="N4" s="32" t="s">
        <v>49</v>
      </c>
      <c r="O4" s="32" t="s">
        <v>50</v>
      </c>
      <c r="P4" s="30" t="s">
        <v>51</v>
      </c>
      <c r="Q4" s="30" t="s">
        <v>32</v>
      </c>
      <c r="R4" s="30" t="s">
        <v>52</v>
      </c>
      <c r="S4" s="32" t="s">
        <v>53</v>
      </c>
      <c r="T4" s="30" t="s">
        <v>54</v>
      </c>
      <c r="U4" s="35"/>
      <c r="V4" s="30" t="s">
        <v>34</v>
      </c>
      <c r="W4" s="30" t="s">
        <v>22</v>
      </c>
      <c r="X4" s="30" t="s">
        <v>22</v>
      </c>
      <c r="Y4" s="30" t="s">
        <v>22</v>
      </c>
    </row>
    <row r="5" spans="1:25">
      <c r="A5" s="30">
        <v>4</v>
      </c>
      <c r="B5" s="44" t="s">
        <v>55</v>
      </c>
      <c r="C5" s="31">
        <v>1000</v>
      </c>
      <c r="D5" s="203">
        <v>45960</v>
      </c>
      <c r="E5" s="203" t="s">
        <v>24</v>
      </c>
      <c r="F5" s="45">
        <v>5</v>
      </c>
      <c r="G5" s="36">
        <v>2050</v>
      </c>
      <c r="H5" s="34">
        <f t="shared" ref="H5:H10" si="0">F5*G5</f>
        <v>10250</v>
      </c>
      <c r="I5" s="203">
        <v>45595</v>
      </c>
      <c r="J5" s="45" t="s">
        <v>56</v>
      </c>
      <c r="K5" s="45" t="s">
        <v>57</v>
      </c>
      <c r="L5" s="46" t="s">
        <v>58</v>
      </c>
      <c r="M5" s="45" t="s">
        <v>59</v>
      </c>
      <c r="N5" s="45" t="s">
        <v>60</v>
      </c>
      <c r="O5" s="45" t="s">
        <v>61</v>
      </c>
      <c r="P5" s="45" t="s">
        <v>62</v>
      </c>
      <c r="Q5" s="45" t="s">
        <v>32</v>
      </c>
      <c r="R5" s="44" t="s">
        <v>63</v>
      </c>
      <c r="S5" s="45">
        <v>1283</v>
      </c>
      <c r="T5" s="45"/>
      <c r="U5" s="47">
        <v>45934</v>
      </c>
      <c r="V5" s="44" t="s">
        <v>34</v>
      </c>
      <c r="W5" s="2" t="s">
        <v>22</v>
      </c>
      <c r="X5" s="2" t="s">
        <v>22</v>
      </c>
      <c r="Y5" s="2" t="s">
        <v>22</v>
      </c>
    </row>
    <row r="6" spans="1:25">
      <c r="A6" s="30">
        <v>5</v>
      </c>
      <c r="B6" s="30" t="s">
        <v>64</v>
      </c>
      <c r="C6" s="31">
        <v>1000</v>
      </c>
      <c r="D6" s="203">
        <v>45566</v>
      </c>
      <c r="E6" s="203" t="s">
        <v>24</v>
      </c>
      <c r="F6" s="32">
        <v>6</v>
      </c>
      <c r="G6" s="36">
        <v>3400</v>
      </c>
      <c r="H6" s="34">
        <f t="shared" si="0"/>
        <v>20400</v>
      </c>
      <c r="I6" s="203">
        <v>45566</v>
      </c>
      <c r="J6" s="30" t="s">
        <v>65</v>
      </c>
      <c r="K6" s="30" t="s">
        <v>66</v>
      </c>
      <c r="L6" s="37" t="s">
        <v>67</v>
      </c>
      <c r="M6" s="32" t="s">
        <v>68</v>
      </c>
      <c r="N6" s="32" t="s">
        <v>69</v>
      </c>
      <c r="O6" s="32" t="s">
        <v>70</v>
      </c>
      <c r="P6" s="30" t="s">
        <v>71</v>
      </c>
      <c r="Q6" s="30" t="s">
        <v>32</v>
      </c>
      <c r="R6" s="30" t="s">
        <v>72</v>
      </c>
      <c r="S6" s="32">
        <v>49</v>
      </c>
      <c r="T6" s="30" t="s">
        <v>44</v>
      </c>
      <c r="U6" s="35">
        <v>45576</v>
      </c>
      <c r="V6" s="30" t="s">
        <v>34</v>
      </c>
      <c r="W6" s="2" t="s">
        <v>22</v>
      </c>
      <c r="X6" s="2" t="s">
        <v>22</v>
      </c>
      <c r="Y6" s="2" t="s">
        <v>22</v>
      </c>
    </row>
    <row r="7" spans="1:25" s="45" customFormat="1">
      <c r="A7" s="30">
        <v>6</v>
      </c>
      <c r="B7" s="30" t="s">
        <v>73</v>
      </c>
      <c r="C7" s="31">
        <v>1000</v>
      </c>
      <c r="D7" s="203">
        <v>45566</v>
      </c>
      <c r="E7" s="203" t="s">
        <v>24</v>
      </c>
      <c r="F7" s="32">
        <v>6</v>
      </c>
      <c r="G7" s="36">
        <v>1790</v>
      </c>
      <c r="H7" s="34">
        <f t="shared" si="0"/>
        <v>10740</v>
      </c>
      <c r="I7" s="203">
        <v>45566</v>
      </c>
      <c r="J7" s="30" t="s">
        <v>74</v>
      </c>
      <c r="K7" s="30" t="s">
        <v>75</v>
      </c>
      <c r="L7" s="38" t="s">
        <v>76</v>
      </c>
      <c r="M7" s="32" t="s">
        <v>77</v>
      </c>
      <c r="N7" s="32" t="s">
        <v>78</v>
      </c>
      <c r="O7" s="32" t="s">
        <v>79</v>
      </c>
      <c r="P7" s="30" t="s">
        <v>80</v>
      </c>
      <c r="Q7" s="30" t="s">
        <v>32</v>
      </c>
      <c r="R7" s="30" t="s">
        <v>81</v>
      </c>
      <c r="S7" s="32">
        <v>37</v>
      </c>
      <c r="T7" s="30" t="s">
        <v>44</v>
      </c>
      <c r="U7" s="35">
        <v>45576</v>
      </c>
      <c r="V7" s="30" t="s">
        <v>34</v>
      </c>
      <c r="W7" s="30" t="s">
        <v>22</v>
      </c>
      <c r="X7" s="30" t="s">
        <v>22</v>
      </c>
      <c r="Y7" s="30" t="s">
        <v>22</v>
      </c>
    </row>
    <row r="8" spans="1:25">
      <c r="A8" s="30">
        <v>7</v>
      </c>
      <c r="B8" s="30" t="s">
        <v>82</v>
      </c>
      <c r="C8" s="31">
        <v>300</v>
      </c>
      <c r="D8" s="203">
        <v>45565</v>
      </c>
      <c r="E8" s="203" t="s">
        <v>24</v>
      </c>
      <c r="F8" s="32">
        <v>6</v>
      </c>
      <c r="G8" s="36">
        <v>3400</v>
      </c>
      <c r="H8" s="34">
        <f t="shared" si="0"/>
        <v>20400</v>
      </c>
      <c r="I8" s="203">
        <v>45595</v>
      </c>
      <c r="J8" s="30" t="s">
        <v>83</v>
      </c>
      <c r="K8" s="30" t="s">
        <v>84</v>
      </c>
      <c r="L8" s="37" t="s">
        <v>85</v>
      </c>
      <c r="M8" s="32" t="s">
        <v>86</v>
      </c>
      <c r="N8" s="32" t="s">
        <v>87</v>
      </c>
      <c r="O8" s="32" t="s">
        <v>79</v>
      </c>
      <c r="P8" s="30" t="s">
        <v>88</v>
      </c>
      <c r="Q8" s="30" t="s">
        <v>32</v>
      </c>
      <c r="R8" s="30" t="s">
        <v>89</v>
      </c>
      <c r="S8" s="32">
        <v>464</v>
      </c>
      <c r="T8" s="30" t="s">
        <v>44</v>
      </c>
      <c r="U8" s="35">
        <v>45576</v>
      </c>
      <c r="V8" s="30" t="s">
        <v>34</v>
      </c>
      <c r="W8" s="2"/>
      <c r="X8" s="2" t="s">
        <v>22</v>
      </c>
      <c r="Y8" s="2" t="s">
        <v>22</v>
      </c>
    </row>
    <row r="9" spans="1:25">
      <c r="A9" s="30">
        <v>8</v>
      </c>
      <c r="B9" s="30" t="s">
        <v>90</v>
      </c>
      <c r="C9" s="31">
        <v>1000</v>
      </c>
      <c r="D9" s="203">
        <v>45566</v>
      </c>
      <c r="E9" s="203" t="s">
        <v>24</v>
      </c>
      <c r="F9" s="32">
        <v>6</v>
      </c>
      <c r="G9" s="36">
        <v>3400</v>
      </c>
      <c r="H9" s="34">
        <f t="shared" si="0"/>
        <v>20400</v>
      </c>
      <c r="I9" s="203">
        <v>45566</v>
      </c>
      <c r="J9" s="30" t="s">
        <v>91</v>
      </c>
      <c r="K9" s="30" t="s">
        <v>92</v>
      </c>
      <c r="L9" s="38" t="s">
        <v>93</v>
      </c>
      <c r="M9" s="32" t="s">
        <v>94</v>
      </c>
      <c r="N9" s="32" t="s">
        <v>69</v>
      </c>
      <c r="O9" s="32" t="s">
        <v>70</v>
      </c>
      <c r="P9" s="30" t="s">
        <v>71</v>
      </c>
      <c r="Q9" s="30" t="s">
        <v>32</v>
      </c>
      <c r="R9" s="30" t="s">
        <v>95</v>
      </c>
      <c r="S9" s="32">
        <v>72</v>
      </c>
      <c r="T9" s="30" t="s">
        <v>44</v>
      </c>
      <c r="U9" s="35">
        <v>45576</v>
      </c>
      <c r="V9" s="30" t="s">
        <v>34</v>
      </c>
      <c r="W9" s="2" t="s">
        <v>22</v>
      </c>
      <c r="X9" s="2" t="s">
        <v>22</v>
      </c>
      <c r="Y9" s="2" t="s">
        <v>22</v>
      </c>
    </row>
    <row r="10" spans="1:25" s="45" customFormat="1">
      <c r="A10" s="30">
        <v>9</v>
      </c>
      <c r="B10" s="30" t="s">
        <v>96</v>
      </c>
      <c r="C10" s="31">
        <v>1000</v>
      </c>
      <c r="D10" s="203">
        <v>45563</v>
      </c>
      <c r="E10" s="203" t="s">
        <v>24</v>
      </c>
      <c r="F10" s="32">
        <v>6</v>
      </c>
      <c r="G10" s="36">
        <v>3400</v>
      </c>
      <c r="H10" s="34">
        <f t="shared" si="0"/>
        <v>20400</v>
      </c>
      <c r="I10" s="203">
        <v>45563</v>
      </c>
      <c r="J10" s="30" t="s">
        <v>97</v>
      </c>
      <c r="K10" s="30" t="s">
        <v>98</v>
      </c>
      <c r="L10" s="30" t="s">
        <v>99</v>
      </c>
      <c r="M10" s="32" t="s">
        <v>100</v>
      </c>
      <c r="N10" s="32" t="s">
        <v>101</v>
      </c>
      <c r="O10" s="32" t="s">
        <v>102</v>
      </c>
      <c r="P10" s="30" t="s">
        <v>103</v>
      </c>
      <c r="Q10" s="30" t="s">
        <v>32</v>
      </c>
      <c r="R10" s="30" t="s">
        <v>104</v>
      </c>
      <c r="S10" s="32">
        <v>631</v>
      </c>
      <c r="T10" s="30" t="s">
        <v>44</v>
      </c>
      <c r="U10" s="266" t="s">
        <v>105</v>
      </c>
      <c r="V10" s="30" t="s">
        <v>34</v>
      </c>
      <c r="W10" s="30" t="s">
        <v>22</v>
      </c>
      <c r="X10" s="30" t="s">
        <v>22</v>
      </c>
      <c r="Y10" s="30" t="s">
        <v>22</v>
      </c>
    </row>
    <row r="11" spans="1:25">
      <c r="A11" s="30">
        <v>10</v>
      </c>
      <c r="B11" s="30" t="s">
        <v>106</v>
      </c>
      <c r="C11" s="31">
        <v>1000</v>
      </c>
      <c r="D11" s="203">
        <v>45924</v>
      </c>
      <c r="E11" s="203" t="s">
        <v>24</v>
      </c>
      <c r="F11" s="32">
        <v>12</v>
      </c>
      <c r="G11" s="33" t="s">
        <v>107</v>
      </c>
      <c r="H11" s="34" t="s">
        <v>108</v>
      </c>
      <c r="I11" s="203">
        <v>45559</v>
      </c>
      <c r="J11" s="30" t="s">
        <v>109</v>
      </c>
      <c r="K11" s="30" t="s">
        <v>110</v>
      </c>
      <c r="L11" s="30" t="s">
        <v>111</v>
      </c>
      <c r="M11" s="32" t="s">
        <v>112</v>
      </c>
      <c r="N11" s="32" t="s">
        <v>113</v>
      </c>
      <c r="O11" s="32" t="s">
        <v>61</v>
      </c>
      <c r="P11" s="30" t="s">
        <v>114</v>
      </c>
      <c r="Q11" s="30" t="s">
        <v>32</v>
      </c>
      <c r="R11" s="30" t="s">
        <v>115</v>
      </c>
      <c r="S11" s="32">
        <v>2616</v>
      </c>
      <c r="T11" s="30" t="s">
        <v>116</v>
      </c>
      <c r="U11" s="35"/>
      <c r="V11" s="30" t="s">
        <v>34</v>
      </c>
      <c r="W11" s="2"/>
      <c r="X11" s="2"/>
      <c r="Y11" s="2"/>
    </row>
    <row r="12" spans="1:25">
      <c r="A12" s="30">
        <v>11</v>
      </c>
      <c r="B12" s="30" t="s">
        <v>117</v>
      </c>
      <c r="C12" s="31">
        <v>1000</v>
      </c>
      <c r="D12" s="203">
        <v>45567</v>
      </c>
      <c r="E12" s="203" t="s">
        <v>24</v>
      </c>
      <c r="F12" s="32">
        <v>4</v>
      </c>
      <c r="G12" s="36">
        <v>5600</v>
      </c>
      <c r="H12" s="34">
        <f>F12*G12</f>
        <v>22400</v>
      </c>
      <c r="I12" s="203">
        <v>45567</v>
      </c>
      <c r="J12" s="30" t="s">
        <v>118</v>
      </c>
      <c r="K12" s="45" t="s">
        <v>119</v>
      </c>
      <c r="L12" s="46" t="s">
        <v>120</v>
      </c>
      <c r="M12" s="45" t="s">
        <v>121</v>
      </c>
      <c r="N12" s="45" t="s">
        <v>49</v>
      </c>
      <c r="O12" s="45" t="s">
        <v>50</v>
      </c>
      <c r="P12" s="45" t="s">
        <v>122</v>
      </c>
      <c r="Q12" s="45" t="s">
        <v>32</v>
      </c>
      <c r="R12" s="45" t="s">
        <v>123</v>
      </c>
      <c r="S12" s="45"/>
      <c r="T12" s="44" t="s">
        <v>124</v>
      </c>
      <c r="U12" s="35">
        <v>45576</v>
      </c>
      <c r="V12" s="30" t="s">
        <v>34</v>
      </c>
      <c r="W12" s="2"/>
      <c r="X12" s="2"/>
      <c r="Y12" s="2"/>
    </row>
    <row r="13" spans="1:25">
      <c r="A13" s="30">
        <v>12</v>
      </c>
      <c r="B13" s="44" t="s">
        <v>125</v>
      </c>
      <c r="C13" s="31">
        <v>1000</v>
      </c>
      <c r="D13" s="203">
        <v>45607</v>
      </c>
      <c r="E13" s="203" t="s">
        <v>24</v>
      </c>
      <c r="F13" s="45">
        <v>6</v>
      </c>
      <c r="G13" s="36">
        <v>3400</v>
      </c>
      <c r="H13" s="34">
        <f>F13*G13</f>
        <v>20400</v>
      </c>
      <c r="I13" s="203">
        <v>45607</v>
      </c>
      <c r="J13" s="45" t="s">
        <v>126</v>
      </c>
      <c r="K13" s="45" t="s">
        <v>127</v>
      </c>
      <c r="L13" s="46" t="s">
        <v>128</v>
      </c>
      <c r="M13" s="45" t="s">
        <v>129</v>
      </c>
      <c r="N13" s="45" t="s">
        <v>69</v>
      </c>
      <c r="O13" s="45" t="s">
        <v>70</v>
      </c>
      <c r="P13" s="45" t="s">
        <v>130</v>
      </c>
      <c r="Q13" s="45" t="s">
        <v>32</v>
      </c>
      <c r="R13" s="44" t="s">
        <v>131</v>
      </c>
      <c r="S13" s="44">
        <v>248</v>
      </c>
      <c r="T13" s="44" t="s">
        <v>132</v>
      </c>
      <c r="U13" s="47" t="s">
        <v>105</v>
      </c>
      <c r="V13" s="44" t="s">
        <v>34</v>
      </c>
      <c r="W13" s="2"/>
      <c r="X13" s="2"/>
      <c r="Y13" s="2"/>
    </row>
    <row r="14" spans="1:25" ht="21.75" customHeight="1">
      <c r="A14" s="2">
        <v>13</v>
      </c>
      <c r="B14" s="26" t="s">
        <v>133</v>
      </c>
      <c r="C14" s="20">
        <v>1000</v>
      </c>
      <c r="D14" s="202">
        <v>45640</v>
      </c>
      <c r="E14" s="202" t="s">
        <v>24</v>
      </c>
      <c r="F14" s="1">
        <v>6</v>
      </c>
      <c r="G14" s="25">
        <v>2370</v>
      </c>
      <c r="H14" s="21">
        <f>(F14*G14)+6000</f>
        <v>20220</v>
      </c>
      <c r="I14" s="17">
        <v>45640</v>
      </c>
      <c r="J14" s="1" t="s">
        <v>134</v>
      </c>
      <c r="K14" s="1" t="s">
        <v>135</v>
      </c>
      <c r="L14" s="27" t="s">
        <v>136</v>
      </c>
      <c r="M14" s="28" t="s">
        <v>137</v>
      </c>
      <c r="N14" s="28" t="s">
        <v>138</v>
      </c>
      <c r="O14" s="1" t="s">
        <v>139</v>
      </c>
      <c r="P14" s="1" t="s">
        <v>140</v>
      </c>
      <c r="Q14" s="1" t="s">
        <v>32</v>
      </c>
      <c r="R14" s="26" t="s">
        <v>141</v>
      </c>
      <c r="S14" s="26">
        <v>34</v>
      </c>
      <c r="U14" s="17">
        <v>45672</v>
      </c>
      <c r="V14" s="26" t="s">
        <v>34</v>
      </c>
      <c r="W14" s="2"/>
      <c r="X14" s="2"/>
      <c r="Y14" s="2"/>
    </row>
    <row r="15" spans="1:25" ht="40.5" customHeight="1">
      <c r="A15" s="2"/>
      <c r="B15" s="29"/>
      <c r="H15" s="15">
        <f>SUM(H2:H14)</f>
        <v>225410</v>
      </c>
      <c r="W15" s="2"/>
      <c r="X15" s="2"/>
      <c r="Y15" s="2"/>
    </row>
    <row r="16" spans="1:25">
      <c r="A16" s="2"/>
      <c r="K16" s="2"/>
      <c r="L16" s="2"/>
      <c r="M16" s="19"/>
      <c r="N16" s="19"/>
      <c r="O16" s="19"/>
      <c r="P16" s="2"/>
      <c r="Q16" s="2"/>
      <c r="R16" s="2"/>
      <c r="S16" s="19"/>
      <c r="T16" s="2"/>
      <c r="U16" s="16"/>
      <c r="V16" s="2"/>
      <c r="W16" s="2"/>
      <c r="X16" s="2"/>
      <c r="Y16" s="2"/>
    </row>
    <row r="17" spans="1:25">
      <c r="A17" s="2"/>
      <c r="B17" s="2"/>
      <c r="C17" s="21"/>
      <c r="D17" s="21"/>
      <c r="E17" s="21"/>
      <c r="F17" s="19"/>
      <c r="G17" s="24"/>
      <c r="H17" s="21"/>
      <c r="I17" s="202"/>
      <c r="J17" s="2"/>
      <c r="K17" s="2"/>
      <c r="L17" s="2"/>
      <c r="M17" s="19"/>
      <c r="N17" s="19"/>
      <c r="O17" s="19"/>
      <c r="P17" s="2"/>
      <c r="Q17" s="2"/>
      <c r="R17" s="2"/>
      <c r="S17" s="19"/>
      <c r="T17" s="2"/>
      <c r="U17" s="16"/>
      <c r="V17" s="2"/>
      <c r="W17" s="2"/>
      <c r="X17" s="2"/>
      <c r="Y17" s="2"/>
    </row>
    <row r="18" spans="1:25">
      <c r="A18" s="2"/>
      <c r="B18" s="2"/>
      <c r="C18" s="21"/>
      <c r="D18" s="21"/>
      <c r="E18" s="21"/>
      <c r="F18" s="19"/>
      <c r="G18" s="24"/>
      <c r="H18" s="21"/>
      <c r="I18" s="202"/>
      <c r="J18" s="2"/>
      <c r="K18" s="2"/>
      <c r="L18" s="2"/>
      <c r="M18" s="19"/>
      <c r="N18" s="19"/>
      <c r="O18" s="19"/>
      <c r="P18" s="2"/>
      <c r="Q18" s="2"/>
      <c r="R18" s="2"/>
      <c r="S18" s="19"/>
      <c r="T18" s="2"/>
      <c r="U18" s="16"/>
      <c r="V18" s="2"/>
      <c r="W18" s="2"/>
      <c r="X18" s="2"/>
      <c r="Y18" s="2"/>
    </row>
    <row r="19" spans="1:25">
      <c r="A19" s="2"/>
      <c r="B19" s="2"/>
      <c r="C19" s="21"/>
      <c r="D19" s="21"/>
      <c r="E19" s="21"/>
      <c r="F19" s="19"/>
      <c r="G19" s="24"/>
      <c r="H19" s="21"/>
      <c r="I19" s="202"/>
      <c r="J19" s="2"/>
      <c r="K19" s="2"/>
      <c r="L19" s="2"/>
      <c r="M19" s="19"/>
      <c r="N19" s="19"/>
      <c r="O19" s="19"/>
      <c r="P19" s="2"/>
      <c r="Q19" s="2"/>
      <c r="R19" s="2"/>
      <c r="S19" s="19"/>
      <c r="T19" s="2"/>
      <c r="U19" s="16"/>
      <c r="V19" s="2"/>
      <c r="W19" s="2"/>
      <c r="X19" s="2"/>
      <c r="Y19" s="2"/>
    </row>
    <row r="20" spans="1:25">
      <c r="C20" s="15"/>
      <c r="D20" s="15"/>
      <c r="E20" s="15"/>
      <c r="G20" s="14"/>
      <c r="H20" s="21"/>
      <c r="U20" s="17"/>
    </row>
    <row r="21" spans="1:25">
      <c r="C21" s="14"/>
      <c r="D21" s="14"/>
      <c r="E21" s="14"/>
    </row>
    <row r="24" spans="1:25">
      <c r="U24" s="2"/>
    </row>
  </sheetData>
  <sortState xmlns:xlrd2="http://schemas.microsoft.com/office/spreadsheetml/2017/richdata2" ref="B2:V15">
    <sortCondition ref="B2:B15"/>
  </sortState>
  <hyperlinks>
    <hyperlink ref="L8" r:id="rId1" xr:uid="{326F9C27-CE12-4235-A2A4-96A68F1E5FA5}"/>
    <hyperlink ref="L2" r:id="rId2" xr:uid="{26672543-53CD-4F36-9A45-9AA4B0E42D6A}"/>
    <hyperlink ref="L6" r:id="rId3" xr:uid="{77AD7F95-1762-4E49-B153-C2027204927A}"/>
    <hyperlink ref="L9" r:id="rId4" xr:uid="{F2F648E1-DD4B-4969-BA03-1BE89C2BC752}"/>
    <hyperlink ref="L3" r:id="rId5" xr:uid="{9E22FE49-D23F-48BD-A8DF-65079EC4F252}"/>
    <hyperlink ref="L7" r:id="rId6" xr:uid="{3CE071DD-6DA7-4BD8-846E-B1F3D6FCD3C0}"/>
    <hyperlink ref="L4" r:id="rId7" xr:uid="{9AF6DF6B-0C3F-440F-AEE1-F9CEEF6147D4}"/>
    <hyperlink ref="L5" r:id="rId8" xr:uid="{599CD777-A67E-4C5A-836E-2AB1C17E6143}"/>
    <hyperlink ref="L12" r:id="rId9" xr:uid="{FB1B8CED-5138-49E9-AD4A-B24F5F8517DD}"/>
    <hyperlink ref="L13" r:id="rId10" xr:uid="{67F95A2B-3DEA-46CF-94ED-AB989A4F836E}"/>
    <hyperlink ref="L14" r:id="rId11" xr:uid="{7C06D155-5D63-4D6F-8220-5BBE9BE5FC39}"/>
  </hyperlinks>
  <pageMargins left="0.511811024" right="0.511811024" top="0.78740157499999996" bottom="0.78740157499999996" header="0.31496062000000002" footer="0.31496062000000002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6EFD-C70B-4630-B961-5645831EC646}">
  <dimension ref="A1:AI36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ColWidth="8.85546875" defaultRowHeight="21"/>
  <cols>
    <col min="1" max="1" width="4.28515625" style="1" bestFit="1" customWidth="1"/>
    <col min="2" max="2" width="51" style="1" customWidth="1"/>
    <col min="3" max="5" width="19.5703125" style="1" customWidth="1"/>
    <col min="6" max="6" width="34.28515625" style="1" customWidth="1"/>
    <col min="7" max="8" width="25.5703125" style="1" customWidth="1"/>
    <col min="9" max="9" width="73.7109375" style="1" customWidth="1"/>
    <col min="10" max="10" width="34.5703125" style="131" bestFit="1" customWidth="1"/>
    <col min="11" max="11" width="29.28515625" style="1" bestFit="1" customWidth="1"/>
    <col min="12" max="12" width="20.5703125" style="15" customWidth="1"/>
    <col min="13" max="13" width="22.5703125" style="48" customWidth="1"/>
    <col min="14" max="14" width="27.7109375" style="1" customWidth="1"/>
    <col min="15" max="15" width="27" style="1" customWidth="1"/>
    <col min="16" max="16" width="20" style="1" customWidth="1"/>
    <col min="17" max="17" width="13.140625" style="1" customWidth="1"/>
    <col min="18" max="18" width="31" style="1" bestFit="1" customWidth="1"/>
    <col min="19" max="19" width="11.7109375" style="1" customWidth="1"/>
    <col min="20" max="20" width="19.85546875" style="1" customWidth="1"/>
    <col min="21" max="21" width="10.28515625" style="1" customWidth="1"/>
    <col min="22" max="22" width="41.28515625" style="1" customWidth="1"/>
    <col min="23" max="23" width="6.140625" style="1" customWidth="1"/>
    <col min="24" max="24" width="22.28515625" style="1" customWidth="1"/>
    <col min="25" max="25" width="15.28515625" style="1" customWidth="1"/>
    <col min="26" max="26" width="30.140625" style="1" customWidth="1"/>
    <col min="27" max="27" width="31.42578125" style="1" customWidth="1"/>
    <col min="28" max="16384" width="8.85546875" style="1"/>
  </cols>
  <sheetData>
    <row r="1" spans="1:35" ht="22.5" customHeight="1">
      <c r="A1" s="22" t="s">
        <v>0</v>
      </c>
      <c r="B1" s="163" t="s">
        <v>1</v>
      </c>
      <c r="C1" s="129" t="s">
        <v>2</v>
      </c>
      <c r="D1" s="271" t="s">
        <v>142</v>
      </c>
      <c r="E1" s="271" t="s">
        <v>4</v>
      </c>
      <c r="F1" s="163" t="s">
        <v>11</v>
      </c>
      <c r="G1" s="165" t="s">
        <v>143</v>
      </c>
      <c r="H1" s="166" t="s">
        <v>144</v>
      </c>
      <c r="I1" s="163" t="s">
        <v>145</v>
      </c>
      <c r="J1" s="129" t="s">
        <v>146</v>
      </c>
      <c r="K1" s="168" t="s">
        <v>5</v>
      </c>
      <c r="L1" s="222" t="s">
        <v>6</v>
      </c>
      <c r="M1" s="169" t="s">
        <v>7</v>
      </c>
      <c r="N1" s="168" t="s">
        <v>8</v>
      </c>
      <c r="O1" s="168" t="s">
        <v>9</v>
      </c>
      <c r="P1" s="168" t="s">
        <v>10</v>
      </c>
      <c r="Q1" s="22" t="s">
        <v>12</v>
      </c>
      <c r="R1" s="163" t="s">
        <v>13</v>
      </c>
      <c r="S1" s="22" t="s">
        <v>14</v>
      </c>
      <c r="T1" s="163" t="s">
        <v>15</v>
      </c>
      <c r="U1" s="22" t="s">
        <v>16</v>
      </c>
      <c r="V1" s="163" t="s">
        <v>17</v>
      </c>
      <c r="W1" s="22" t="s">
        <v>18</v>
      </c>
      <c r="X1" s="163" t="s">
        <v>19</v>
      </c>
      <c r="Y1" s="22" t="s">
        <v>20</v>
      </c>
      <c r="Z1" s="22" t="s">
        <v>21</v>
      </c>
      <c r="AA1" s="22" t="s">
        <v>147</v>
      </c>
      <c r="AB1" s="19" t="s">
        <v>22</v>
      </c>
      <c r="AC1" s="19" t="s">
        <v>22</v>
      </c>
      <c r="AD1" s="19" t="s">
        <v>22</v>
      </c>
    </row>
    <row r="2" spans="1:35" ht="24.75" customHeight="1">
      <c r="A2" s="49">
        <v>1</v>
      </c>
      <c r="B2" s="70" t="s">
        <v>148</v>
      </c>
      <c r="C2" s="113">
        <v>1000</v>
      </c>
      <c r="D2" s="217"/>
      <c r="E2" s="217"/>
      <c r="F2" s="99" t="s">
        <v>149</v>
      </c>
      <c r="G2" s="70" t="s">
        <v>150</v>
      </c>
      <c r="H2" s="164">
        <v>31352</v>
      </c>
      <c r="I2" s="167" t="s">
        <v>151</v>
      </c>
      <c r="J2" s="217" t="s">
        <v>152</v>
      </c>
      <c r="K2" s="70" t="s">
        <v>153</v>
      </c>
      <c r="L2" s="223" t="s">
        <v>154</v>
      </c>
      <c r="M2" s="137" t="s">
        <v>155</v>
      </c>
      <c r="N2" s="170">
        <v>45874</v>
      </c>
      <c r="O2" s="70" t="s">
        <v>156</v>
      </c>
      <c r="P2" s="76" t="s">
        <v>157</v>
      </c>
      <c r="Q2" s="49" t="s">
        <v>158</v>
      </c>
      <c r="R2" s="76" t="s">
        <v>159</v>
      </c>
      <c r="S2" s="49" t="s">
        <v>160</v>
      </c>
      <c r="T2" s="171" t="s">
        <v>161</v>
      </c>
      <c r="U2" s="56" t="s">
        <v>162</v>
      </c>
      <c r="V2" s="111" t="s">
        <v>163</v>
      </c>
      <c r="W2" s="49"/>
      <c r="X2" s="111" t="s">
        <v>164</v>
      </c>
      <c r="Y2" s="53" t="s">
        <v>165</v>
      </c>
      <c r="Z2" s="114" t="s">
        <v>34</v>
      </c>
      <c r="AA2" s="56" t="s">
        <v>166</v>
      </c>
      <c r="AB2" s="19" t="s">
        <v>22</v>
      </c>
      <c r="AC2" s="19" t="s">
        <v>22</v>
      </c>
      <c r="AD2" s="19" t="s">
        <v>22</v>
      </c>
    </row>
    <row r="3" spans="1:35" ht="26.25" customHeight="1">
      <c r="A3" s="49">
        <v>2</v>
      </c>
      <c r="B3" s="56" t="s">
        <v>167</v>
      </c>
      <c r="C3" s="113">
        <v>1000</v>
      </c>
      <c r="D3" s="113"/>
      <c r="E3" s="113"/>
      <c r="F3" s="60" t="s">
        <v>168</v>
      </c>
      <c r="G3" s="56" t="s">
        <v>169</v>
      </c>
      <c r="H3" s="56" t="s">
        <v>170</v>
      </c>
      <c r="I3" s="50" t="s">
        <v>151</v>
      </c>
      <c r="J3" s="113" t="s">
        <v>152</v>
      </c>
      <c r="K3" s="56" t="s">
        <v>171</v>
      </c>
      <c r="L3" s="224" t="s">
        <v>172</v>
      </c>
      <c r="M3" s="57" t="s">
        <v>173</v>
      </c>
      <c r="N3" s="59" t="s">
        <v>174</v>
      </c>
      <c r="O3" s="56" t="s">
        <v>175</v>
      </c>
      <c r="P3" s="56" t="s">
        <v>176</v>
      </c>
      <c r="Q3" s="186">
        <v>48607180</v>
      </c>
      <c r="R3" s="186" t="s">
        <v>177</v>
      </c>
      <c r="S3" s="186" t="s">
        <v>178</v>
      </c>
      <c r="T3" s="186" t="s">
        <v>179</v>
      </c>
      <c r="U3" s="49" t="s">
        <v>162</v>
      </c>
      <c r="V3" s="186" t="s">
        <v>180</v>
      </c>
      <c r="W3" s="186">
        <v>65</v>
      </c>
      <c r="X3" s="186" t="s">
        <v>44</v>
      </c>
      <c r="Y3" s="53" t="s">
        <v>181</v>
      </c>
      <c r="Z3" s="114" t="s">
        <v>34</v>
      </c>
      <c r="AA3" s="56" t="s">
        <v>166</v>
      </c>
      <c r="AB3" s="19" t="s">
        <v>22</v>
      </c>
      <c r="AC3" s="19" t="s">
        <v>22</v>
      </c>
      <c r="AD3" s="19" t="s">
        <v>22</v>
      </c>
    </row>
    <row r="4" spans="1:35" ht="26.25" customHeight="1">
      <c r="A4" s="49">
        <v>3</v>
      </c>
      <c r="B4" s="115" t="s">
        <v>182</v>
      </c>
      <c r="C4" s="113">
        <v>5000</v>
      </c>
      <c r="D4" s="267"/>
      <c r="E4" s="267"/>
      <c r="F4" s="180" t="s">
        <v>183</v>
      </c>
      <c r="G4" s="49" t="s">
        <v>184</v>
      </c>
      <c r="H4" s="49" t="s">
        <v>185</v>
      </c>
      <c r="I4" s="50" t="s">
        <v>186</v>
      </c>
      <c r="J4" s="113"/>
      <c r="K4" s="49" t="s">
        <v>187</v>
      </c>
      <c r="L4" s="225" t="s">
        <v>188</v>
      </c>
      <c r="M4" s="139" t="s">
        <v>189</v>
      </c>
      <c r="N4" s="53" t="s">
        <v>190</v>
      </c>
      <c r="O4" s="49" t="s">
        <v>191</v>
      </c>
      <c r="P4" s="115" t="s">
        <v>192</v>
      </c>
      <c r="Q4" s="49" t="s">
        <v>193</v>
      </c>
      <c r="R4" s="49" t="s">
        <v>194</v>
      </c>
      <c r="S4" s="49" t="s">
        <v>61</v>
      </c>
      <c r="T4" s="58" t="s">
        <v>195</v>
      </c>
      <c r="U4" s="56" t="s">
        <v>162</v>
      </c>
      <c r="V4" s="56" t="s">
        <v>196</v>
      </c>
      <c r="W4" s="50">
        <v>101</v>
      </c>
      <c r="X4" s="51"/>
      <c r="Y4" s="61">
        <v>45814</v>
      </c>
      <c r="Z4" s="209" t="s">
        <v>34</v>
      </c>
      <c r="AA4" s="56"/>
      <c r="AB4" s="19" t="s">
        <v>22</v>
      </c>
      <c r="AC4" s="19" t="s">
        <v>22</v>
      </c>
      <c r="AD4" s="19" t="s">
        <v>22</v>
      </c>
    </row>
    <row r="5" spans="1:35" ht="22.5" customHeight="1">
      <c r="A5" s="114">
        <v>4</v>
      </c>
      <c r="B5" s="56" t="s">
        <v>197</v>
      </c>
      <c r="C5" s="113">
        <v>11340</v>
      </c>
      <c r="D5" s="113"/>
      <c r="E5" s="113"/>
      <c r="F5" s="60" t="s">
        <v>198</v>
      </c>
      <c r="G5" s="72" t="s">
        <v>199</v>
      </c>
      <c r="H5" s="136">
        <v>31452</v>
      </c>
      <c r="I5" s="50" t="s">
        <v>151</v>
      </c>
      <c r="J5" s="113"/>
      <c r="K5" s="56" t="s">
        <v>200</v>
      </c>
      <c r="L5" s="224" t="s">
        <v>201</v>
      </c>
      <c r="M5" s="138" t="s">
        <v>202</v>
      </c>
      <c r="N5" s="59">
        <v>45819</v>
      </c>
      <c r="O5" s="127" t="s">
        <v>203</v>
      </c>
      <c r="P5" s="56" t="s">
        <v>204</v>
      </c>
      <c r="Q5" s="182" t="s">
        <v>205</v>
      </c>
      <c r="R5" s="73" t="s">
        <v>206</v>
      </c>
      <c r="S5" s="56" t="s">
        <v>61</v>
      </c>
      <c r="T5" s="73" t="s">
        <v>207</v>
      </c>
      <c r="U5" s="56" t="s">
        <v>162</v>
      </c>
      <c r="V5" s="73" t="s">
        <v>208</v>
      </c>
      <c r="W5" s="56">
        <v>441</v>
      </c>
      <c r="X5" s="56"/>
      <c r="Y5" s="61" t="s">
        <v>209</v>
      </c>
      <c r="Z5" s="127" t="s">
        <v>34</v>
      </c>
      <c r="AA5" s="56" t="s">
        <v>166</v>
      </c>
      <c r="AB5" s="19" t="s">
        <v>22</v>
      </c>
      <c r="AC5" s="19" t="s">
        <v>22</v>
      </c>
      <c r="AD5" s="19" t="s">
        <v>22</v>
      </c>
    </row>
    <row r="6" spans="1:35" ht="21.75" customHeight="1">
      <c r="A6" s="49">
        <v>5</v>
      </c>
      <c r="B6" s="91" t="s">
        <v>210</v>
      </c>
      <c r="C6" s="113">
        <v>1000</v>
      </c>
      <c r="D6" s="209"/>
      <c r="E6" s="209"/>
      <c r="F6" s="181" t="s">
        <v>211</v>
      </c>
      <c r="G6" s="49" t="s">
        <v>169</v>
      </c>
      <c r="H6" s="49" t="s">
        <v>212</v>
      </c>
      <c r="I6" s="55" t="s">
        <v>151</v>
      </c>
      <c r="J6" s="113"/>
      <c r="K6" s="49" t="s">
        <v>213</v>
      </c>
      <c r="L6" s="225">
        <v>0</v>
      </c>
      <c r="M6" s="52" t="s">
        <v>189</v>
      </c>
      <c r="N6" s="53" t="s">
        <v>214</v>
      </c>
      <c r="O6" s="114" t="s">
        <v>215</v>
      </c>
      <c r="P6" s="62" t="s">
        <v>216</v>
      </c>
      <c r="Q6" s="184" t="s">
        <v>217</v>
      </c>
      <c r="R6" s="62" t="s">
        <v>113</v>
      </c>
      <c r="S6" s="185" t="s">
        <v>61</v>
      </c>
      <c r="T6" s="62" t="s">
        <v>218</v>
      </c>
      <c r="U6" s="185" t="s">
        <v>162</v>
      </c>
      <c r="V6" s="62" t="s">
        <v>219</v>
      </c>
      <c r="W6" s="179">
        <v>64</v>
      </c>
      <c r="X6" s="49"/>
      <c r="Y6" s="53" t="s">
        <v>209</v>
      </c>
      <c r="Z6" s="114" t="s">
        <v>34</v>
      </c>
      <c r="AA6" s="56"/>
      <c r="AB6" s="19" t="s">
        <v>22</v>
      </c>
      <c r="AC6" s="19" t="s">
        <v>22</v>
      </c>
      <c r="AD6" s="19" t="s">
        <v>22</v>
      </c>
    </row>
    <row r="7" spans="1:35" ht="22.5" customHeight="1">
      <c r="A7" s="49">
        <v>6</v>
      </c>
      <c r="B7" s="62" t="s">
        <v>220</v>
      </c>
      <c r="C7" s="113">
        <v>20000</v>
      </c>
      <c r="D7" s="217"/>
      <c r="E7" s="217"/>
      <c r="F7" s="99" t="s">
        <v>221</v>
      </c>
      <c r="G7" s="49" t="s">
        <v>222</v>
      </c>
      <c r="H7" s="49" t="s">
        <v>223</v>
      </c>
      <c r="I7" s="55" t="s">
        <v>224</v>
      </c>
      <c r="J7" s="113"/>
      <c r="K7" s="49" t="s">
        <v>213</v>
      </c>
      <c r="L7" s="225">
        <v>0</v>
      </c>
      <c r="M7" s="52" t="s">
        <v>189</v>
      </c>
      <c r="N7" s="53" t="s">
        <v>225</v>
      </c>
      <c r="O7" s="49" t="s">
        <v>226</v>
      </c>
      <c r="P7" s="162" t="s">
        <v>227</v>
      </c>
      <c r="Q7" s="183">
        <v>74730030</v>
      </c>
      <c r="R7" s="162" t="s">
        <v>228</v>
      </c>
      <c r="S7" s="49" t="s">
        <v>160</v>
      </c>
      <c r="T7" s="162" t="s">
        <v>229</v>
      </c>
      <c r="U7" s="49" t="s">
        <v>162</v>
      </c>
      <c r="V7" s="162" t="s">
        <v>230</v>
      </c>
      <c r="W7" s="62">
        <v>2</v>
      </c>
      <c r="X7" s="62" t="s">
        <v>231</v>
      </c>
      <c r="Y7" s="53"/>
      <c r="Z7" s="114" t="s">
        <v>34</v>
      </c>
      <c r="AA7" s="56"/>
      <c r="AB7" s="19" t="s">
        <v>22</v>
      </c>
      <c r="AC7" s="19" t="s">
        <v>22</v>
      </c>
      <c r="AD7" s="19" t="s">
        <v>22</v>
      </c>
    </row>
    <row r="8" spans="1:35">
      <c r="A8" s="49">
        <v>7</v>
      </c>
      <c r="B8" s="49" t="s">
        <v>232</v>
      </c>
      <c r="C8" s="113">
        <v>1000</v>
      </c>
      <c r="D8" s="113"/>
      <c r="E8" s="113"/>
      <c r="F8" s="63" t="s">
        <v>233</v>
      </c>
      <c r="G8" s="49" t="s">
        <v>169</v>
      </c>
      <c r="H8" s="49"/>
      <c r="I8" s="49" t="s">
        <v>234</v>
      </c>
      <c r="J8" s="113"/>
      <c r="K8" s="49" t="s">
        <v>235</v>
      </c>
      <c r="L8" s="225" t="s">
        <v>236</v>
      </c>
      <c r="M8" s="139" t="s">
        <v>237</v>
      </c>
      <c r="N8" s="53">
        <v>45845</v>
      </c>
      <c r="O8" s="62" t="s">
        <v>238</v>
      </c>
      <c r="P8" s="64" t="s">
        <v>239</v>
      </c>
      <c r="Q8" s="66" t="s">
        <v>240</v>
      </c>
      <c r="R8" s="62" t="s">
        <v>241</v>
      </c>
      <c r="S8" s="62" t="s">
        <v>79</v>
      </c>
      <c r="T8" s="62" t="s">
        <v>242</v>
      </c>
      <c r="U8" s="49" t="s">
        <v>162</v>
      </c>
      <c r="V8" s="62" t="s">
        <v>243</v>
      </c>
      <c r="W8" s="62">
        <v>700</v>
      </c>
      <c r="X8" s="62" t="s">
        <v>244</v>
      </c>
      <c r="Y8" s="53"/>
      <c r="Z8" s="114" t="s">
        <v>34</v>
      </c>
      <c r="AA8" s="56" t="s">
        <v>166</v>
      </c>
      <c r="AB8" s="19"/>
      <c r="AC8" s="19" t="s">
        <v>22</v>
      </c>
      <c r="AD8" s="19" t="s">
        <v>22</v>
      </c>
    </row>
    <row r="9" spans="1:35">
      <c r="A9" s="49">
        <v>8</v>
      </c>
      <c r="B9" s="49" t="s">
        <v>245</v>
      </c>
      <c r="C9" s="113">
        <v>1000</v>
      </c>
      <c r="D9" s="113"/>
      <c r="E9" s="113"/>
      <c r="F9" s="67" t="s">
        <v>246</v>
      </c>
      <c r="G9" s="49" t="s">
        <v>247</v>
      </c>
      <c r="H9" s="53">
        <v>30112</v>
      </c>
      <c r="I9" s="49" t="s">
        <v>151</v>
      </c>
      <c r="J9" s="113"/>
      <c r="K9" s="49" t="s">
        <v>248</v>
      </c>
      <c r="L9" s="225" t="s">
        <v>236</v>
      </c>
      <c r="M9" s="52" t="s">
        <v>249</v>
      </c>
      <c r="N9" s="53">
        <v>45876</v>
      </c>
      <c r="O9" s="49" t="s">
        <v>250</v>
      </c>
      <c r="P9" s="56" t="s">
        <v>251</v>
      </c>
      <c r="Q9" s="68" t="s">
        <v>252</v>
      </c>
      <c r="R9" s="56" t="s">
        <v>253</v>
      </c>
      <c r="S9" s="49" t="s">
        <v>61</v>
      </c>
      <c r="T9" s="56" t="s">
        <v>254</v>
      </c>
      <c r="U9" s="49" t="s">
        <v>162</v>
      </c>
      <c r="V9" s="56" t="s">
        <v>255</v>
      </c>
      <c r="W9" s="56">
        <v>200</v>
      </c>
      <c r="X9" s="62"/>
      <c r="Y9" s="53"/>
      <c r="Z9" s="114" t="s">
        <v>34</v>
      </c>
      <c r="AA9" s="56" t="s">
        <v>166</v>
      </c>
      <c r="AB9" s="19" t="s">
        <v>22</v>
      </c>
      <c r="AC9" s="19" t="s">
        <v>22</v>
      </c>
      <c r="AD9" s="19" t="s">
        <v>22</v>
      </c>
    </row>
    <row r="10" spans="1:35">
      <c r="A10" s="49">
        <v>9</v>
      </c>
      <c r="B10" s="272" t="s">
        <v>256</v>
      </c>
      <c r="C10" s="113">
        <v>1000</v>
      </c>
      <c r="D10" s="113"/>
      <c r="E10" s="113"/>
      <c r="F10" s="62" t="s">
        <v>257</v>
      </c>
      <c r="G10" s="56" t="s">
        <v>247</v>
      </c>
      <c r="H10" s="56" t="s">
        <v>258</v>
      </c>
      <c r="I10" s="49" t="s">
        <v>151</v>
      </c>
      <c r="J10" s="113"/>
      <c r="K10" s="49" t="s">
        <v>213</v>
      </c>
      <c r="L10" s="225">
        <v>0</v>
      </c>
      <c r="M10" s="52" t="s">
        <v>189</v>
      </c>
      <c r="N10" s="53" t="s">
        <v>259</v>
      </c>
      <c r="O10" s="73" t="s">
        <v>260</v>
      </c>
      <c r="P10" s="74" t="s">
        <v>261</v>
      </c>
      <c r="Q10" s="66" t="s">
        <v>262</v>
      </c>
      <c r="R10" s="62" t="s">
        <v>263</v>
      </c>
      <c r="S10" s="56" t="s">
        <v>50</v>
      </c>
      <c r="T10" s="62" t="s">
        <v>264</v>
      </c>
      <c r="U10" s="56" t="s">
        <v>162</v>
      </c>
      <c r="V10" s="62" t="s">
        <v>265</v>
      </c>
      <c r="W10" s="62">
        <v>106</v>
      </c>
      <c r="X10" s="62" t="s">
        <v>266</v>
      </c>
      <c r="Y10" s="61"/>
      <c r="Z10" s="127" t="s">
        <v>267</v>
      </c>
      <c r="AA10" s="56"/>
      <c r="AB10" s="19" t="s">
        <v>22</v>
      </c>
      <c r="AC10" s="19" t="s">
        <v>22</v>
      </c>
      <c r="AD10" s="19" t="s">
        <v>22</v>
      </c>
    </row>
    <row r="11" spans="1:35">
      <c r="A11" s="49">
        <v>10</v>
      </c>
      <c r="B11" s="273" t="s">
        <v>268</v>
      </c>
      <c r="C11" s="113">
        <v>20000</v>
      </c>
      <c r="D11" s="113"/>
      <c r="E11" s="113"/>
      <c r="F11" s="65" t="s">
        <v>269</v>
      </c>
      <c r="G11" s="49" t="s">
        <v>222</v>
      </c>
      <c r="H11" s="49" t="s">
        <v>270</v>
      </c>
      <c r="I11" s="55" t="s">
        <v>271</v>
      </c>
      <c r="J11" s="113" t="s">
        <v>152</v>
      </c>
      <c r="K11" s="49" t="s">
        <v>272</v>
      </c>
      <c r="L11" s="225">
        <v>0</v>
      </c>
      <c r="M11" s="52" t="s">
        <v>189</v>
      </c>
      <c r="N11" s="53" t="s">
        <v>273</v>
      </c>
      <c r="O11" s="49" t="s">
        <v>274</v>
      </c>
      <c r="P11" s="64" t="s">
        <v>275</v>
      </c>
      <c r="Q11" s="66" t="s">
        <v>276</v>
      </c>
      <c r="R11" s="62" t="s">
        <v>49</v>
      </c>
      <c r="S11" s="62" t="s">
        <v>50</v>
      </c>
      <c r="T11" s="49"/>
      <c r="U11" s="49" t="s">
        <v>162</v>
      </c>
      <c r="V11" s="62" t="s">
        <v>277</v>
      </c>
      <c r="W11" s="49"/>
      <c r="X11" s="62" t="s">
        <v>278</v>
      </c>
      <c r="Y11" s="53"/>
      <c r="Z11" s="114"/>
      <c r="AA11" s="56"/>
      <c r="AB11" s="19"/>
      <c r="AC11" s="19"/>
      <c r="AD11" s="19"/>
    </row>
    <row r="12" spans="1:35">
      <c r="A12" s="49">
        <v>11</v>
      </c>
      <c r="B12" s="69" t="s">
        <v>279</v>
      </c>
      <c r="C12" s="113">
        <v>20000</v>
      </c>
      <c r="D12" s="268"/>
      <c r="E12" s="268"/>
      <c r="F12" s="175" t="s">
        <v>280</v>
      </c>
      <c r="G12" s="69" t="s">
        <v>184</v>
      </c>
      <c r="H12" s="69" t="s">
        <v>281</v>
      </c>
      <c r="I12" s="69" t="s">
        <v>151</v>
      </c>
      <c r="J12" s="113"/>
      <c r="K12" s="49" t="s">
        <v>213</v>
      </c>
      <c r="L12" s="224">
        <v>0</v>
      </c>
      <c r="M12" s="52" t="s">
        <v>189</v>
      </c>
      <c r="N12" s="71" t="s">
        <v>282</v>
      </c>
      <c r="O12" s="75" t="s">
        <v>283</v>
      </c>
      <c r="P12" s="56" t="s">
        <v>284</v>
      </c>
      <c r="Q12" s="56" t="s">
        <v>285</v>
      </c>
      <c r="R12" s="56" t="s">
        <v>286</v>
      </c>
      <c r="S12" s="56" t="s">
        <v>139</v>
      </c>
      <c r="T12" s="56" t="s">
        <v>287</v>
      </c>
      <c r="U12" s="56" t="s">
        <v>162</v>
      </c>
      <c r="V12" s="56" t="s">
        <v>288</v>
      </c>
      <c r="W12" s="56">
        <v>680</v>
      </c>
      <c r="X12" s="56" t="s">
        <v>289</v>
      </c>
      <c r="Y12" s="56"/>
      <c r="Z12" s="127" t="s">
        <v>34</v>
      </c>
      <c r="AA12" s="56"/>
      <c r="AB12" s="19"/>
      <c r="AC12" s="19"/>
      <c r="AD12" s="19"/>
    </row>
    <row r="13" spans="1:35">
      <c r="A13" s="49">
        <v>12</v>
      </c>
      <c r="B13" s="56" t="s">
        <v>290</v>
      </c>
      <c r="C13" s="112">
        <v>1000</v>
      </c>
      <c r="D13" s="112"/>
      <c r="E13" s="112"/>
      <c r="F13" s="54" t="s">
        <v>291</v>
      </c>
      <c r="G13" s="56" t="s">
        <v>292</v>
      </c>
      <c r="H13" s="56" t="s">
        <v>293</v>
      </c>
      <c r="I13" s="56" t="s">
        <v>151</v>
      </c>
      <c r="J13" s="112"/>
      <c r="K13" s="49" t="s">
        <v>213</v>
      </c>
      <c r="L13" s="224">
        <v>0</v>
      </c>
      <c r="M13" s="52" t="s">
        <v>189</v>
      </c>
      <c r="N13" s="56" t="s">
        <v>282</v>
      </c>
      <c r="O13" s="70" t="s">
        <v>294</v>
      </c>
      <c r="P13" s="76" t="s">
        <v>295</v>
      </c>
      <c r="Q13" s="49" t="s">
        <v>296</v>
      </c>
      <c r="R13" s="49" t="s">
        <v>113</v>
      </c>
      <c r="S13" s="49" t="s">
        <v>61</v>
      </c>
      <c r="T13" s="49" t="s">
        <v>297</v>
      </c>
      <c r="U13" s="49" t="s">
        <v>162</v>
      </c>
      <c r="V13" s="49" t="s">
        <v>298</v>
      </c>
      <c r="W13" s="49">
        <v>76</v>
      </c>
      <c r="X13" s="49"/>
      <c r="Y13" s="53"/>
      <c r="Z13" s="114" t="s">
        <v>34</v>
      </c>
      <c r="AA13" s="56"/>
      <c r="AB13" s="19"/>
      <c r="AC13" s="19"/>
      <c r="AD13" s="19"/>
      <c r="AI13" s="1" t="s">
        <v>299</v>
      </c>
    </row>
    <row r="14" spans="1:35" ht="21.75" customHeight="1">
      <c r="A14" s="49">
        <v>13</v>
      </c>
      <c r="B14" s="91" t="s">
        <v>300</v>
      </c>
      <c r="C14" s="112">
        <v>1000</v>
      </c>
      <c r="D14" s="112"/>
      <c r="E14" s="112"/>
      <c r="F14" s="54" t="s">
        <v>301</v>
      </c>
      <c r="G14" s="49" t="s">
        <v>302</v>
      </c>
      <c r="H14" s="49" t="s">
        <v>303</v>
      </c>
      <c r="I14" s="49" t="s">
        <v>151</v>
      </c>
      <c r="J14" s="112" t="s">
        <v>152</v>
      </c>
      <c r="K14" s="49" t="s">
        <v>304</v>
      </c>
      <c r="L14" s="225" t="s">
        <v>236</v>
      </c>
      <c r="M14" s="52" t="s">
        <v>249</v>
      </c>
      <c r="N14" s="53">
        <v>45969</v>
      </c>
      <c r="O14" s="49" t="s">
        <v>305</v>
      </c>
      <c r="P14" s="49" t="s">
        <v>306</v>
      </c>
      <c r="Q14" s="49">
        <v>96065590</v>
      </c>
      <c r="R14" s="49" t="s">
        <v>307</v>
      </c>
      <c r="S14" s="49" t="s">
        <v>308</v>
      </c>
      <c r="T14" s="49" t="s">
        <v>309</v>
      </c>
      <c r="U14" s="49" t="s">
        <v>162</v>
      </c>
      <c r="V14" s="49"/>
      <c r="W14" s="49">
        <v>67</v>
      </c>
      <c r="X14" s="49"/>
      <c r="Y14" s="53" t="s">
        <v>310</v>
      </c>
      <c r="Z14" s="114" t="s">
        <v>34</v>
      </c>
      <c r="AA14" s="56" t="s">
        <v>166</v>
      </c>
      <c r="AB14" s="19"/>
      <c r="AC14" s="19"/>
      <c r="AD14" s="19"/>
    </row>
    <row r="15" spans="1:35" ht="21.75" customHeight="1">
      <c r="A15" s="56">
        <v>14</v>
      </c>
      <c r="B15" s="56" t="s">
        <v>311</v>
      </c>
      <c r="C15" s="112">
        <v>1000</v>
      </c>
      <c r="D15" s="112"/>
      <c r="E15" s="112"/>
      <c r="F15" s="54" t="s">
        <v>312</v>
      </c>
      <c r="G15" s="56" t="s">
        <v>184</v>
      </c>
      <c r="H15" s="56" t="s">
        <v>313</v>
      </c>
      <c r="I15" s="56" t="s">
        <v>151</v>
      </c>
      <c r="J15" s="218" t="s">
        <v>152</v>
      </c>
      <c r="K15" s="127" t="s">
        <v>314</v>
      </c>
      <c r="L15" s="225" t="s">
        <v>236</v>
      </c>
      <c r="M15" s="52" t="s">
        <v>249</v>
      </c>
      <c r="N15" s="56" t="s">
        <v>315</v>
      </c>
      <c r="O15" s="56" t="s">
        <v>316</v>
      </c>
      <c r="P15" s="94" t="s">
        <v>317</v>
      </c>
      <c r="Q15" s="56"/>
      <c r="R15" s="56" t="s">
        <v>318</v>
      </c>
      <c r="S15" s="56"/>
      <c r="T15" s="95" t="s">
        <v>319</v>
      </c>
      <c r="U15" s="56" t="s">
        <v>320</v>
      </c>
      <c r="V15" s="56"/>
      <c r="W15" s="92">
        <v>6809</v>
      </c>
      <c r="X15" s="56"/>
      <c r="Y15" s="61">
        <v>45816</v>
      </c>
      <c r="Z15" s="127" t="s">
        <v>34</v>
      </c>
      <c r="AA15" s="56" t="s">
        <v>166</v>
      </c>
    </row>
    <row r="16" spans="1:35" ht="21.75" customHeight="1">
      <c r="A16" s="56">
        <v>15</v>
      </c>
      <c r="B16" s="56" t="s">
        <v>321</v>
      </c>
      <c r="C16" s="112">
        <v>3800</v>
      </c>
      <c r="D16" s="112"/>
      <c r="E16" s="112"/>
      <c r="F16" s="128" t="s">
        <v>322</v>
      </c>
      <c r="G16" s="56" t="s">
        <v>323</v>
      </c>
      <c r="H16" s="56" t="s">
        <v>324</v>
      </c>
      <c r="I16" s="56" t="s">
        <v>325</v>
      </c>
      <c r="J16" s="112"/>
      <c r="K16" s="56" t="s">
        <v>326</v>
      </c>
      <c r="L16" s="223" t="s">
        <v>327</v>
      </c>
      <c r="M16" s="57" t="s">
        <v>189</v>
      </c>
      <c r="N16" s="61">
        <v>45908</v>
      </c>
      <c r="O16" s="56" t="s">
        <v>328</v>
      </c>
      <c r="P16" s="56" t="s">
        <v>329</v>
      </c>
      <c r="Q16" s="56">
        <v>75110250</v>
      </c>
      <c r="R16" s="56" t="s">
        <v>330</v>
      </c>
      <c r="S16" s="56" t="s">
        <v>160</v>
      </c>
      <c r="T16" s="56"/>
      <c r="U16" s="56" t="s">
        <v>162</v>
      </c>
      <c r="V16" s="56" t="s">
        <v>331</v>
      </c>
      <c r="W16" s="56">
        <v>135</v>
      </c>
      <c r="X16" s="56" t="s">
        <v>332</v>
      </c>
      <c r="Y16" s="61">
        <v>45908</v>
      </c>
      <c r="Z16" s="127" t="s">
        <v>34</v>
      </c>
      <c r="AA16" s="56"/>
    </row>
    <row r="17" spans="1:30" ht="21.75" customHeight="1">
      <c r="A17" s="73">
        <v>16</v>
      </c>
      <c r="B17" s="73" t="s">
        <v>333</v>
      </c>
      <c r="C17" s="130">
        <v>5000</v>
      </c>
      <c r="D17" s="130"/>
      <c r="E17" s="130"/>
      <c r="F17" s="178" t="s">
        <v>334</v>
      </c>
      <c r="G17" s="73" t="s">
        <v>335</v>
      </c>
      <c r="H17" s="133">
        <v>35135</v>
      </c>
      <c r="I17" s="73" t="s">
        <v>325</v>
      </c>
      <c r="J17" s="130"/>
      <c r="K17" s="73" t="s">
        <v>336</v>
      </c>
      <c r="L17" s="226" t="s">
        <v>188</v>
      </c>
      <c r="M17" s="57" t="s">
        <v>189</v>
      </c>
      <c r="N17" s="133">
        <v>45908</v>
      </c>
      <c r="O17" s="73" t="s">
        <v>337</v>
      </c>
      <c r="P17" s="73" t="s">
        <v>338</v>
      </c>
      <c r="Q17" s="73">
        <v>74370494</v>
      </c>
      <c r="R17" s="73" t="s">
        <v>228</v>
      </c>
      <c r="S17" s="73" t="s">
        <v>160</v>
      </c>
      <c r="T17" s="73" t="s">
        <v>339</v>
      </c>
      <c r="U17" s="73" t="s">
        <v>162</v>
      </c>
      <c r="V17" s="73" t="s">
        <v>340</v>
      </c>
      <c r="W17" s="73"/>
      <c r="X17" s="73" t="s">
        <v>341</v>
      </c>
      <c r="Y17" s="73"/>
      <c r="Z17" s="176" t="s">
        <v>34</v>
      </c>
      <c r="AA17" s="56"/>
    </row>
    <row r="18" spans="1:30" ht="21.75" customHeight="1">
      <c r="A18" s="56">
        <v>17</v>
      </c>
      <c r="B18" s="56" t="s">
        <v>342</v>
      </c>
      <c r="C18" s="112">
        <v>2000</v>
      </c>
      <c r="D18" s="269"/>
      <c r="E18" s="269"/>
      <c r="F18" s="175" t="s">
        <v>343</v>
      </c>
      <c r="G18" s="56"/>
      <c r="H18" s="56" t="s">
        <v>344</v>
      </c>
      <c r="I18" s="56" t="s">
        <v>151</v>
      </c>
      <c r="J18" s="112" t="s">
        <v>152</v>
      </c>
      <c r="K18" s="56" t="s">
        <v>345</v>
      </c>
      <c r="L18" s="225">
        <v>3318</v>
      </c>
      <c r="M18" s="57">
        <v>21908</v>
      </c>
      <c r="N18" s="61">
        <v>45884</v>
      </c>
      <c r="O18" s="127" t="s">
        <v>346</v>
      </c>
      <c r="P18" s="56" t="s">
        <v>347</v>
      </c>
      <c r="Q18" s="56">
        <v>8406566</v>
      </c>
      <c r="R18" s="56" t="s">
        <v>348</v>
      </c>
      <c r="S18" s="56" t="s">
        <v>79</v>
      </c>
      <c r="T18" s="56" t="s">
        <v>349</v>
      </c>
      <c r="U18" s="56" t="s">
        <v>162</v>
      </c>
      <c r="V18" s="56" t="s">
        <v>350</v>
      </c>
      <c r="W18" s="56">
        <v>137</v>
      </c>
      <c r="X18" s="56"/>
      <c r="Y18" s="61">
        <v>45899</v>
      </c>
      <c r="Z18" s="127" t="s">
        <v>34</v>
      </c>
      <c r="AA18" s="56" t="s">
        <v>166</v>
      </c>
    </row>
    <row r="19" spans="1:30" ht="21.75" customHeight="1">
      <c r="A19" s="56">
        <v>18</v>
      </c>
      <c r="B19" s="56" t="s">
        <v>351</v>
      </c>
      <c r="C19" s="130">
        <v>1300</v>
      </c>
      <c r="D19" s="270"/>
      <c r="E19" s="270"/>
      <c r="F19" s="175" t="s">
        <v>352</v>
      </c>
      <c r="G19" s="73" t="s">
        <v>222</v>
      </c>
      <c r="H19" s="73" t="s">
        <v>353</v>
      </c>
      <c r="I19" s="56" t="s">
        <v>151</v>
      </c>
      <c r="J19" s="130" t="s">
        <v>152</v>
      </c>
      <c r="K19" s="56" t="s">
        <v>354</v>
      </c>
      <c r="L19" s="226" t="s">
        <v>355</v>
      </c>
      <c r="M19" s="120">
        <v>22162</v>
      </c>
      <c r="N19" s="133">
        <v>45969</v>
      </c>
      <c r="O19" s="176" t="s">
        <v>356</v>
      </c>
      <c r="P19" s="56" t="s">
        <v>357</v>
      </c>
      <c r="Q19" s="73">
        <v>1478705</v>
      </c>
      <c r="R19" s="73" t="s">
        <v>358</v>
      </c>
      <c r="S19" s="73" t="s">
        <v>61</v>
      </c>
      <c r="T19" s="56" t="s">
        <v>359</v>
      </c>
      <c r="U19" s="73" t="s">
        <v>162</v>
      </c>
      <c r="V19" s="56" t="s">
        <v>360</v>
      </c>
      <c r="W19" s="73"/>
      <c r="X19" s="73"/>
      <c r="Y19" s="71">
        <v>45999</v>
      </c>
      <c r="Z19" s="127" t="s">
        <v>34</v>
      </c>
      <c r="AA19" s="56" t="s">
        <v>166</v>
      </c>
    </row>
    <row r="20" spans="1:30">
      <c r="A20" s="49">
        <v>19</v>
      </c>
      <c r="B20" s="281" t="s">
        <v>106</v>
      </c>
      <c r="C20" s="113">
        <v>0</v>
      </c>
      <c r="D20" s="113"/>
      <c r="E20" s="113"/>
      <c r="F20" s="285" t="s">
        <v>111</v>
      </c>
      <c r="G20" s="94" t="s">
        <v>361</v>
      </c>
      <c r="H20" s="94" t="s">
        <v>362</v>
      </c>
      <c r="I20" s="94" t="s">
        <v>363</v>
      </c>
      <c r="J20" s="113" t="s">
        <v>53</v>
      </c>
      <c r="K20" s="78"/>
      <c r="L20" s="232">
        <v>0</v>
      </c>
      <c r="M20" s="79"/>
      <c r="N20" s="89"/>
      <c r="O20" s="91" t="s">
        <v>109</v>
      </c>
      <c r="P20" s="177" t="s">
        <v>364</v>
      </c>
      <c r="Q20" s="91" t="s">
        <v>112</v>
      </c>
      <c r="R20" s="172" t="s">
        <v>113</v>
      </c>
      <c r="S20" s="110" t="s">
        <v>61</v>
      </c>
      <c r="T20" s="172" t="s">
        <v>114</v>
      </c>
      <c r="U20" s="117" t="s">
        <v>162</v>
      </c>
      <c r="V20" s="79" t="s">
        <v>115</v>
      </c>
      <c r="W20" s="174">
        <v>2616</v>
      </c>
      <c r="X20" s="91" t="s">
        <v>116</v>
      </c>
      <c r="Y20" s="103"/>
      <c r="Z20" s="108" t="s">
        <v>34</v>
      </c>
      <c r="AA20" s="56"/>
      <c r="AB20" s="19"/>
      <c r="AC20" s="19"/>
      <c r="AD20" s="19"/>
    </row>
    <row r="21" spans="1:30">
      <c r="A21" s="49">
        <v>20</v>
      </c>
      <c r="B21" s="282" t="s">
        <v>64</v>
      </c>
      <c r="C21" s="113">
        <v>0</v>
      </c>
      <c r="D21" s="113"/>
      <c r="E21" s="113"/>
      <c r="F21" s="286" t="s">
        <v>67</v>
      </c>
      <c r="G21" s="94" t="s">
        <v>361</v>
      </c>
      <c r="H21" s="94" t="s">
        <v>365</v>
      </c>
      <c r="I21" s="94" t="s">
        <v>363</v>
      </c>
      <c r="J21" s="113" t="s">
        <v>53</v>
      </c>
      <c r="K21" s="78"/>
      <c r="L21" s="233">
        <v>0</v>
      </c>
      <c r="M21" s="96"/>
      <c r="N21" s="97"/>
      <c r="O21" s="122" t="s">
        <v>366</v>
      </c>
      <c r="P21" s="76" t="s">
        <v>66</v>
      </c>
      <c r="Q21" s="153" t="s">
        <v>68</v>
      </c>
      <c r="R21" s="91" t="s">
        <v>69</v>
      </c>
      <c r="S21" s="153" t="s">
        <v>70</v>
      </c>
      <c r="T21" s="91" t="s">
        <v>71</v>
      </c>
      <c r="U21" s="173" t="s">
        <v>162</v>
      </c>
      <c r="V21" s="153" t="s">
        <v>72</v>
      </c>
      <c r="W21" s="91">
        <v>49</v>
      </c>
      <c r="X21" s="91" t="s">
        <v>44</v>
      </c>
      <c r="Y21" s="104"/>
      <c r="Z21" s="114" t="s">
        <v>34</v>
      </c>
      <c r="AA21" s="56"/>
      <c r="AB21" s="19"/>
      <c r="AC21" s="19"/>
      <c r="AD21" s="19"/>
    </row>
    <row r="22" spans="1:30" ht="22.5" customHeight="1">
      <c r="A22" s="49">
        <v>21</v>
      </c>
      <c r="B22" s="283" t="s">
        <v>367</v>
      </c>
      <c r="C22" s="113">
        <v>0</v>
      </c>
      <c r="D22" s="113"/>
      <c r="E22" s="113"/>
      <c r="F22" s="77" t="s">
        <v>368</v>
      </c>
      <c r="G22" s="56" t="s">
        <v>361</v>
      </c>
      <c r="H22" s="61">
        <v>32023</v>
      </c>
      <c r="I22" s="56" t="s">
        <v>363</v>
      </c>
      <c r="J22" s="113" t="s">
        <v>53</v>
      </c>
      <c r="K22" s="49"/>
      <c r="L22" s="113">
        <v>0</v>
      </c>
      <c r="M22" s="52"/>
      <c r="N22" s="71"/>
      <c r="O22" s="56" t="s">
        <v>46</v>
      </c>
      <c r="P22" s="74" t="s">
        <v>369</v>
      </c>
      <c r="Q22" s="69" t="s">
        <v>370</v>
      </c>
      <c r="R22" s="197" t="s">
        <v>49</v>
      </c>
      <c r="S22" s="56" t="s">
        <v>50</v>
      </c>
      <c r="T22" s="70" t="s">
        <v>371</v>
      </c>
      <c r="U22" s="117" t="s">
        <v>162</v>
      </c>
      <c r="V22" s="73" t="s">
        <v>372</v>
      </c>
      <c r="W22" s="70">
        <v>405</v>
      </c>
      <c r="X22" s="56" t="s">
        <v>373</v>
      </c>
      <c r="Y22" s="61"/>
      <c r="Z22" s="127" t="s">
        <v>34</v>
      </c>
      <c r="AA22" s="56"/>
      <c r="AB22" s="19"/>
      <c r="AC22" s="19"/>
      <c r="AD22" s="19"/>
    </row>
    <row r="23" spans="1:30">
      <c r="A23" s="49">
        <v>22</v>
      </c>
      <c r="B23" s="282" t="s">
        <v>374</v>
      </c>
      <c r="C23" s="113">
        <v>0</v>
      </c>
      <c r="D23" s="113"/>
      <c r="E23" s="113"/>
      <c r="F23" s="287" t="s">
        <v>375</v>
      </c>
      <c r="G23" s="49" t="s">
        <v>361</v>
      </c>
      <c r="H23" s="53">
        <v>32907</v>
      </c>
      <c r="I23" s="55" t="s">
        <v>363</v>
      </c>
      <c r="J23" s="113" t="s">
        <v>53</v>
      </c>
      <c r="K23" s="49"/>
      <c r="L23" s="113">
        <v>0</v>
      </c>
      <c r="M23" s="52"/>
      <c r="N23" s="53"/>
      <c r="O23" s="49" t="s">
        <v>376</v>
      </c>
      <c r="P23" s="74">
        <v>13141301700</v>
      </c>
      <c r="Q23" s="2" t="s">
        <v>377</v>
      </c>
      <c r="R23" s="49" t="s">
        <v>378</v>
      </c>
      <c r="S23" s="150" t="s">
        <v>139</v>
      </c>
      <c r="T23" s="49" t="s">
        <v>379</v>
      </c>
      <c r="U23" s="188" t="s">
        <v>162</v>
      </c>
      <c r="V23" s="62" t="s">
        <v>380</v>
      </c>
      <c r="W23" s="196">
        <v>205</v>
      </c>
      <c r="X23" s="62"/>
      <c r="Y23" s="53"/>
      <c r="Z23" s="127" t="s">
        <v>34</v>
      </c>
      <c r="AA23" s="56"/>
      <c r="AB23" s="19"/>
      <c r="AC23" s="19"/>
      <c r="AD23" s="19"/>
    </row>
    <row r="24" spans="1:30">
      <c r="A24" s="56">
        <v>23</v>
      </c>
      <c r="B24" s="210" t="s">
        <v>381</v>
      </c>
      <c r="C24" s="280">
        <v>3000</v>
      </c>
      <c r="D24" s="280"/>
      <c r="E24" s="280"/>
      <c r="F24" s="288" t="s">
        <v>76</v>
      </c>
      <c r="G24" s="173" t="s">
        <v>361</v>
      </c>
      <c r="H24" s="118">
        <v>33521</v>
      </c>
      <c r="I24" s="117" t="s">
        <v>363</v>
      </c>
      <c r="J24" s="219"/>
      <c r="K24" s="49" t="s">
        <v>382</v>
      </c>
      <c r="L24" s="227" t="s">
        <v>383</v>
      </c>
      <c r="M24" s="116" t="s">
        <v>384</v>
      </c>
      <c r="N24" s="118" t="s">
        <v>385</v>
      </c>
      <c r="O24" s="188" t="s">
        <v>74</v>
      </c>
      <c r="P24" s="49" t="s">
        <v>75</v>
      </c>
      <c r="Q24" s="114" t="s">
        <v>77</v>
      </c>
      <c r="R24" s="76" t="s">
        <v>78</v>
      </c>
      <c r="S24" s="19" t="s">
        <v>79</v>
      </c>
      <c r="T24" s="49" t="s">
        <v>80</v>
      </c>
      <c r="U24" s="173" t="s">
        <v>162</v>
      </c>
      <c r="V24" s="19" t="s">
        <v>81</v>
      </c>
      <c r="W24" s="115">
        <v>37</v>
      </c>
      <c r="X24" s="91" t="s">
        <v>44</v>
      </c>
      <c r="Y24" s="118">
        <v>45939</v>
      </c>
      <c r="Z24" s="188" t="s">
        <v>34</v>
      </c>
      <c r="AA24" s="56" t="s">
        <v>166</v>
      </c>
    </row>
    <row r="25" spans="1:30">
      <c r="A25" s="56">
        <v>24</v>
      </c>
      <c r="B25" s="283" t="s">
        <v>386</v>
      </c>
      <c r="C25" s="112">
        <v>500</v>
      </c>
      <c r="D25" s="112"/>
      <c r="E25" s="112"/>
      <c r="F25" s="289" t="s">
        <v>387</v>
      </c>
      <c r="G25" s="56" t="s">
        <v>361</v>
      </c>
      <c r="H25" s="61">
        <v>30996</v>
      </c>
      <c r="I25" s="56" t="s">
        <v>363</v>
      </c>
      <c r="J25" s="112" t="s">
        <v>152</v>
      </c>
      <c r="K25" s="56" t="s">
        <v>388</v>
      </c>
      <c r="L25" s="226" t="s">
        <v>389</v>
      </c>
      <c r="M25" s="57" t="s">
        <v>390</v>
      </c>
      <c r="N25" s="56" t="s">
        <v>391</v>
      </c>
      <c r="O25" s="56" t="s">
        <v>392</v>
      </c>
      <c r="P25" s="134" t="s">
        <v>393</v>
      </c>
      <c r="Q25" s="70" t="s">
        <v>394</v>
      </c>
      <c r="R25" s="70" t="s">
        <v>228</v>
      </c>
      <c r="S25" s="56" t="s">
        <v>160</v>
      </c>
      <c r="T25" s="70" t="s">
        <v>395</v>
      </c>
      <c r="U25" s="117" t="s">
        <v>162</v>
      </c>
      <c r="V25" s="127" t="s">
        <v>396</v>
      </c>
      <c r="W25" s="56"/>
      <c r="X25" s="198" t="s">
        <v>397</v>
      </c>
      <c r="Y25" s="56" t="s">
        <v>398</v>
      </c>
      <c r="Z25" s="127" t="s">
        <v>34</v>
      </c>
      <c r="AA25" s="56" t="s">
        <v>399</v>
      </c>
    </row>
    <row r="26" spans="1:30">
      <c r="A26" s="73">
        <v>25</v>
      </c>
      <c r="B26" s="284" t="s">
        <v>400</v>
      </c>
      <c r="C26" s="112">
        <v>1000</v>
      </c>
      <c r="D26" s="112"/>
      <c r="E26" s="112"/>
      <c r="F26" s="175" t="s">
        <v>27</v>
      </c>
      <c r="G26" s="56" t="s">
        <v>361</v>
      </c>
      <c r="H26" s="133">
        <v>28372</v>
      </c>
      <c r="I26" s="56" t="s">
        <v>401</v>
      </c>
      <c r="J26" s="112" t="s">
        <v>152</v>
      </c>
      <c r="K26" s="56" t="s">
        <v>402</v>
      </c>
      <c r="L26" s="224" t="s">
        <v>403</v>
      </c>
      <c r="M26" s="57" t="s">
        <v>404</v>
      </c>
      <c r="N26" s="61">
        <v>45969</v>
      </c>
      <c r="O26" s="127" t="s">
        <v>25</v>
      </c>
      <c r="P26" s="92" t="s">
        <v>26</v>
      </c>
      <c r="Q26" s="72" t="s">
        <v>28</v>
      </c>
      <c r="R26" s="56" t="s">
        <v>29</v>
      </c>
      <c r="S26" s="56" t="s">
        <v>30</v>
      </c>
      <c r="T26" s="56" t="s">
        <v>405</v>
      </c>
      <c r="U26" s="56" t="s">
        <v>162</v>
      </c>
      <c r="V26" s="56" t="s">
        <v>406</v>
      </c>
      <c r="W26" s="70">
        <v>261</v>
      </c>
      <c r="X26" s="56"/>
      <c r="Y26" s="61">
        <v>45969</v>
      </c>
      <c r="Z26" s="176" t="s">
        <v>34</v>
      </c>
      <c r="AA26" s="56" t="s">
        <v>166</v>
      </c>
    </row>
    <row r="27" spans="1:30">
      <c r="A27" s="127">
        <v>26</v>
      </c>
      <c r="B27" s="283" t="s">
        <v>96</v>
      </c>
      <c r="C27" s="112">
        <v>0</v>
      </c>
      <c r="D27" s="112"/>
      <c r="E27" s="112"/>
      <c r="F27" s="2" t="s">
        <v>99</v>
      </c>
      <c r="G27" s="127" t="s">
        <v>361</v>
      </c>
      <c r="H27" s="61">
        <v>32571</v>
      </c>
      <c r="I27" s="1" t="s">
        <v>363</v>
      </c>
      <c r="K27" s="1" t="s">
        <v>304</v>
      </c>
      <c r="L27" s="224">
        <v>1291</v>
      </c>
      <c r="M27" s="204" t="s">
        <v>407</v>
      </c>
      <c r="N27" s="136">
        <v>45969</v>
      </c>
      <c r="O27" s="135" t="s">
        <v>97</v>
      </c>
      <c r="P27" s="97" t="s">
        <v>98</v>
      </c>
      <c r="Q27" s="49" t="s">
        <v>100</v>
      </c>
      <c r="R27" s="135" t="s">
        <v>101</v>
      </c>
      <c r="S27" s="56" t="s">
        <v>102</v>
      </c>
      <c r="T27" s="19" t="s">
        <v>103</v>
      </c>
      <c r="U27" s="56" t="s">
        <v>162</v>
      </c>
      <c r="V27" s="19" t="s">
        <v>104</v>
      </c>
      <c r="W27" s="127">
        <v>631</v>
      </c>
      <c r="X27" s="127" t="s">
        <v>44</v>
      </c>
      <c r="Y27" s="127" t="s">
        <v>408</v>
      </c>
      <c r="Z27" s="127" t="s">
        <v>34</v>
      </c>
      <c r="AA27" s="56" t="s">
        <v>166</v>
      </c>
    </row>
    <row r="28" spans="1:30">
      <c r="A28" s="134">
        <v>27</v>
      </c>
      <c r="B28" s="205" t="s">
        <v>409</v>
      </c>
      <c r="C28" s="112">
        <v>10000</v>
      </c>
      <c r="D28" s="112"/>
      <c r="E28" s="112"/>
      <c r="F28" s="290" t="s">
        <v>410</v>
      </c>
      <c r="G28" s="73" t="s">
        <v>411</v>
      </c>
      <c r="H28" s="216">
        <v>30867</v>
      </c>
      <c r="I28" s="73" t="s">
        <v>412</v>
      </c>
      <c r="J28" s="130"/>
      <c r="K28" s="73" t="s">
        <v>413</v>
      </c>
      <c r="L28" s="226">
        <v>3334</v>
      </c>
      <c r="M28" s="57">
        <v>20002</v>
      </c>
      <c r="N28" s="133">
        <v>45890</v>
      </c>
      <c r="O28" s="73" t="s">
        <v>414</v>
      </c>
      <c r="P28" s="73" t="s">
        <v>415</v>
      </c>
      <c r="Q28" s="73" t="s">
        <v>416</v>
      </c>
      <c r="R28" s="56" t="s">
        <v>417</v>
      </c>
      <c r="S28" s="73" t="s">
        <v>102</v>
      </c>
      <c r="T28" s="73" t="s">
        <v>418</v>
      </c>
      <c r="U28" s="73" t="s">
        <v>162</v>
      </c>
      <c r="V28" s="73" t="s">
        <v>419</v>
      </c>
      <c r="W28" s="73">
        <v>899</v>
      </c>
      <c r="X28" s="73" t="s">
        <v>420</v>
      </c>
      <c r="Y28" s="133">
        <v>45920</v>
      </c>
      <c r="Z28" s="205" t="s">
        <v>34</v>
      </c>
      <c r="AA28" s="56"/>
    </row>
    <row r="29" spans="1:30">
      <c r="A29" s="134"/>
      <c r="B29" s="134"/>
      <c r="C29" s="291"/>
      <c r="D29" s="292"/>
      <c r="E29" s="292"/>
      <c r="F29" s="178"/>
      <c r="G29" s="73"/>
      <c r="H29" s="216"/>
      <c r="I29" s="73"/>
      <c r="J29" s="130"/>
      <c r="K29" s="73"/>
      <c r="L29" s="226"/>
      <c r="M29" s="57"/>
      <c r="N29" s="133"/>
      <c r="O29" s="73"/>
      <c r="P29" s="73"/>
      <c r="Q29" s="73"/>
      <c r="R29" s="56"/>
      <c r="S29" s="73"/>
      <c r="T29" s="73"/>
      <c r="U29" s="73"/>
      <c r="V29" s="73"/>
      <c r="W29" s="73"/>
      <c r="X29" s="73"/>
      <c r="Y29" s="133"/>
      <c r="Z29" s="205"/>
      <c r="AA29" s="56"/>
    </row>
    <row r="30" spans="1:30">
      <c r="A30" s="56">
        <v>28</v>
      </c>
      <c r="B30" s="56"/>
      <c r="C30" s="130"/>
      <c r="D30" s="130"/>
      <c r="E30" s="130"/>
      <c r="F30" s="178"/>
      <c r="G30" s="56"/>
      <c r="H30" s="56"/>
      <c r="I30" s="56"/>
      <c r="J30" s="112"/>
      <c r="K30" s="56"/>
      <c r="L30" s="224"/>
      <c r="M30" s="57"/>
      <c r="N30" s="56"/>
      <c r="O30" s="56"/>
      <c r="P30" s="73"/>
      <c r="Q30" s="56"/>
      <c r="R30" s="56"/>
      <c r="S30" s="56"/>
      <c r="T30" s="56"/>
      <c r="U30" s="56"/>
      <c r="V30" s="56"/>
      <c r="W30" s="56"/>
      <c r="X30" s="56"/>
      <c r="Y30" s="56"/>
      <c r="Z30" s="127"/>
      <c r="AA30" s="56"/>
    </row>
    <row r="31" spans="1:30" s="144" customFormat="1">
      <c r="A31" s="62"/>
      <c r="B31" s="143"/>
      <c r="C31" s="140"/>
      <c r="D31" s="140"/>
      <c r="E31" s="140"/>
      <c r="F31" s="149"/>
      <c r="G31" s="150"/>
      <c r="H31" s="74"/>
      <c r="I31" s="62"/>
      <c r="J31" s="140"/>
      <c r="K31" s="62"/>
      <c r="L31" s="228"/>
      <c r="M31" s="141"/>
      <c r="N31" s="142"/>
      <c r="O31" s="143"/>
      <c r="P31" s="79"/>
      <c r="Q31" s="62"/>
      <c r="R31" s="62"/>
      <c r="S31" s="62"/>
      <c r="T31" s="62"/>
      <c r="U31" s="62"/>
      <c r="V31" s="62"/>
      <c r="W31" s="62"/>
      <c r="X31" s="62"/>
      <c r="Y31" s="62"/>
      <c r="Z31" s="143"/>
      <c r="AA31" s="62"/>
    </row>
    <row r="32" spans="1:30" s="144" customFormat="1">
      <c r="A32" s="74"/>
      <c r="B32" s="143"/>
      <c r="C32" s="140"/>
      <c r="D32" s="140"/>
      <c r="E32" s="140"/>
      <c r="F32" s="149"/>
      <c r="G32" s="277"/>
      <c r="H32" s="62"/>
      <c r="I32" s="150"/>
      <c r="J32" s="145"/>
      <c r="K32" s="62"/>
      <c r="L32" s="229"/>
      <c r="M32" s="146"/>
      <c r="N32" s="147"/>
      <c r="O32" s="74"/>
      <c r="P32" s="148"/>
      <c r="Q32" s="74"/>
      <c r="R32" s="74"/>
      <c r="S32" s="74"/>
      <c r="T32" s="62"/>
      <c r="U32" s="74"/>
      <c r="V32" s="62"/>
      <c r="W32" s="74"/>
      <c r="X32" s="74"/>
      <c r="Y32" s="192"/>
      <c r="Z32" s="189"/>
      <c r="AA32" s="62"/>
    </row>
    <row r="33" spans="1:27" s="144" customFormat="1">
      <c r="A33" s="62"/>
      <c r="C33" s="140"/>
      <c r="D33" s="140"/>
      <c r="E33" s="140"/>
      <c r="F33" s="79"/>
      <c r="G33" s="152"/>
      <c r="H33" s="62"/>
      <c r="J33" s="220"/>
      <c r="L33" s="228"/>
      <c r="M33" s="150"/>
      <c r="N33" s="151"/>
      <c r="O33" s="152"/>
      <c r="P33" s="79"/>
      <c r="Q33" s="91"/>
      <c r="R33" s="152"/>
      <c r="S33" s="62"/>
      <c r="T33" s="153"/>
      <c r="U33" s="62"/>
      <c r="V33" s="153"/>
      <c r="W33" s="143"/>
      <c r="X33" s="143"/>
      <c r="Y33" s="62"/>
      <c r="Z33" s="143"/>
      <c r="AA33" s="62"/>
    </row>
    <row r="34" spans="1:27" s="144" customFormat="1">
      <c r="A34" s="162"/>
      <c r="B34" s="276" t="s">
        <v>421</v>
      </c>
      <c r="C34" s="274">
        <v>1000</v>
      </c>
      <c r="D34" s="274"/>
      <c r="E34" s="274"/>
      <c r="F34" s="275"/>
      <c r="G34" s="278"/>
      <c r="H34" s="119"/>
      <c r="I34" s="191" t="s">
        <v>422</v>
      </c>
      <c r="J34" s="221"/>
      <c r="K34" s="110" t="s">
        <v>423</v>
      </c>
      <c r="L34" s="230"/>
      <c r="M34" s="156"/>
      <c r="N34" s="157"/>
      <c r="O34" s="154"/>
      <c r="P34" s="154"/>
      <c r="Q34" s="158"/>
      <c r="R34" s="154"/>
      <c r="S34" s="154"/>
      <c r="T34" s="159"/>
      <c r="U34" s="158"/>
      <c r="V34" s="155"/>
      <c r="W34" s="154"/>
      <c r="X34" s="160"/>
      <c r="Y34" s="161"/>
      <c r="Z34" s="190"/>
      <c r="AA34" s="62"/>
    </row>
    <row r="35" spans="1:27">
      <c r="A35" s="56"/>
      <c r="B35" s="91" t="s">
        <v>424</v>
      </c>
      <c r="C35" s="217">
        <v>1000</v>
      </c>
      <c r="D35" s="217"/>
      <c r="E35" s="217"/>
      <c r="F35" s="279" t="s">
        <v>425</v>
      </c>
      <c r="G35" s="49" t="s">
        <v>426</v>
      </c>
      <c r="H35" s="76"/>
      <c r="I35" s="55" t="s">
        <v>422</v>
      </c>
      <c r="J35" s="113"/>
      <c r="K35" s="49" t="s">
        <v>427</v>
      </c>
      <c r="L35" s="231"/>
      <c r="M35" s="137"/>
      <c r="N35" s="53">
        <v>45784</v>
      </c>
      <c r="O35" s="49" t="s">
        <v>428</v>
      </c>
      <c r="P35" s="62" t="s">
        <v>429</v>
      </c>
      <c r="Q35" s="66">
        <v>69058091</v>
      </c>
      <c r="R35" s="62" t="s">
        <v>430</v>
      </c>
      <c r="S35" s="62" t="s">
        <v>431</v>
      </c>
      <c r="T35" s="62" t="s">
        <v>432</v>
      </c>
      <c r="U35" s="49" t="s">
        <v>162</v>
      </c>
      <c r="V35" s="62" t="s">
        <v>433</v>
      </c>
      <c r="W35" s="49" t="s">
        <v>434</v>
      </c>
      <c r="X35" s="62" t="s">
        <v>434</v>
      </c>
      <c r="Y35" s="53"/>
      <c r="Z35" s="127"/>
      <c r="AA35" s="56"/>
    </row>
    <row r="36" spans="1:27">
      <c r="A36" s="56"/>
      <c r="B36" s="56"/>
      <c r="C36" s="112"/>
      <c r="D36" s="112"/>
      <c r="E36" s="112"/>
      <c r="F36" s="56"/>
      <c r="G36" s="56"/>
      <c r="H36" s="56"/>
      <c r="I36" s="56"/>
      <c r="J36" s="112"/>
      <c r="K36" s="56"/>
      <c r="L36" s="224"/>
      <c r="M36" s="57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127"/>
      <c r="AA36" s="56"/>
    </row>
  </sheetData>
  <autoFilter ref="A1:AI1" xr:uid="{D2A66EFD-C70B-4630-B961-5645831EC646}"/>
  <hyperlinks>
    <hyperlink ref="F8" r:id="rId1" xr:uid="{ED0A06C5-378B-4AAE-81BF-99B4385964AE}"/>
    <hyperlink ref="F2" r:id="rId2" xr:uid="{A0F87F18-405A-400B-9B0F-12151B412DEB}"/>
    <hyperlink ref="F3" r:id="rId3" xr:uid="{92EF3116-87B6-4A8E-95EA-37209E80014B}"/>
    <hyperlink ref="F4" r:id="rId4" xr:uid="{D4DC5231-769A-48DB-AC7E-4CE64EF270CD}"/>
    <hyperlink ref="F5" r:id="rId5" xr:uid="{3D92726A-07D7-4D89-8AC5-D0B4CA180C32}"/>
    <hyperlink ref="F7" r:id="rId6" xr:uid="{EBB01B81-026F-43EC-A43D-BDE755194877}"/>
    <hyperlink ref="F9" r:id="rId7" xr:uid="{46F844A7-71AD-4E2E-8BC7-5E4A3193EF82}"/>
    <hyperlink ref="F11" r:id="rId8" xr:uid="{F5A3DB4C-0935-4C08-B4F5-E9031C819F3C}"/>
    <hyperlink ref="F13" r:id="rId9" xr:uid="{D15D67F2-FEB5-4898-B7CF-28A4D3F52089}"/>
    <hyperlink ref="F21" r:id="rId10" xr:uid="{8C9BCBCA-9D46-4FE2-A8F0-5C68CBF123D0}"/>
    <hyperlink ref="F20" r:id="rId11" xr:uid="{BA0B05CA-E6BA-4938-AAC4-84B8FA7B641E}"/>
    <hyperlink ref="F14" r:id="rId12" xr:uid="{ABBCCB5C-FB97-484C-8B00-5287957505A8}"/>
    <hyperlink ref="F15" r:id="rId13" xr:uid="{D318DECB-0054-4A07-B65D-BC1151D47BE0}"/>
    <hyperlink ref="F16" r:id="rId14" xr:uid="{0A743D6C-823B-4517-9C27-204B13FF9063}"/>
    <hyperlink ref="F18" r:id="rId15" xr:uid="{7BA1B392-3E9D-47BB-904E-024BAB18D9DF}"/>
    <hyperlink ref="F19" r:id="rId16" xr:uid="{54D5E481-F432-48D5-81B7-D8B24DEA5EEF}"/>
    <hyperlink ref="F26" r:id="rId17" xr:uid="{83702685-06A1-4D0F-B788-857CDE29748B}"/>
    <hyperlink ref="F22" r:id="rId18" xr:uid="{5EF255E9-B635-495C-9D4D-4E0207BDB512}"/>
    <hyperlink ref="F12" r:id="rId19" xr:uid="{FD1C9CBC-4D1A-430C-9F4E-FFD48A8B67DD}"/>
    <hyperlink ref="F17" r:id="rId20" xr:uid="{CC85BA1E-9BD8-4975-94FE-3DDE6F4E9846}"/>
    <hyperlink ref="F6" r:id="rId21" xr:uid="{F903EDBF-44E8-4F61-A3ED-EB058135909B}"/>
    <hyperlink ref="F24" r:id="rId22" xr:uid="{AA0BC088-E8AB-468F-B319-CA761D0B7BAD}"/>
    <hyperlink ref="F23" r:id="rId23" xr:uid="{902ED61D-AA38-4005-9505-7A7C21492933}"/>
    <hyperlink ref="F25" r:id="rId24" xr:uid="{B8064216-EE28-4ACB-8088-C17D2E82F41B}"/>
    <hyperlink ref="F28" r:id="rId25" xr:uid="{841E0FC7-ACB2-41BE-8886-F7797223A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39BB-5B8A-4CFA-9966-E14ABE1A1879}">
  <dimension ref="A1:W10"/>
  <sheetViews>
    <sheetView workbookViewId="0">
      <pane ySplit="1" topLeftCell="A2" activePane="bottomLeft" state="frozen"/>
      <selection pane="bottomLeft" activeCell="E18" sqref="E18"/>
    </sheetView>
  </sheetViews>
  <sheetFormatPr defaultColWidth="8.85546875" defaultRowHeight="21"/>
  <cols>
    <col min="1" max="1" width="4.28515625" style="7" bestFit="1" customWidth="1"/>
    <col min="2" max="2" width="36.5703125" style="7" bestFit="1" customWidth="1"/>
    <col min="3" max="3" width="19.5703125" style="12" bestFit="1" customWidth="1"/>
    <col min="4" max="4" width="13.85546875" style="7" bestFit="1" customWidth="1"/>
    <col min="5" max="5" width="27.85546875" style="7" bestFit="1" customWidth="1"/>
    <col min="6" max="6" width="9.28515625" style="7" bestFit="1" customWidth="1"/>
    <col min="7" max="7" width="22.42578125" style="13" bestFit="1" customWidth="1"/>
    <col min="8" max="8" width="19.42578125" style="7" bestFit="1" customWidth="1"/>
    <col min="9" max="9" width="18" style="7" bestFit="1" customWidth="1"/>
    <col min="10" max="10" width="36.28515625" style="7" bestFit="1" customWidth="1"/>
    <col min="11" max="11" width="5.85546875" style="7" bestFit="1" customWidth="1"/>
    <col min="12" max="12" width="10.7109375" style="7" bestFit="1" customWidth="1"/>
    <col min="13" max="13" width="11.28515625" style="7" bestFit="1" customWidth="1"/>
    <col min="14" max="14" width="10.42578125" style="7" bestFit="1" customWidth="1"/>
    <col min="15" max="15" width="6.7109375" style="7" bestFit="1" customWidth="1"/>
    <col min="16" max="16" width="14.7109375" style="7" bestFit="1" customWidth="1"/>
    <col min="17" max="17" width="12.28515625" style="7" bestFit="1" customWidth="1"/>
    <col min="18" max="18" width="21" style="7" bestFit="1" customWidth="1"/>
    <col min="19" max="19" width="44" style="7" bestFit="1" customWidth="1"/>
    <col min="20" max="20" width="2" style="7" bestFit="1" customWidth="1"/>
    <col min="21" max="23" width="1.85546875" style="7" bestFit="1" customWidth="1"/>
    <col min="24" max="16384" width="8.85546875" style="7"/>
  </cols>
  <sheetData>
    <row r="1" spans="1:23">
      <c r="A1" s="3" t="s">
        <v>0</v>
      </c>
      <c r="B1" s="3" t="s">
        <v>1</v>
      </c>
      <c r="C1" s="4" t="s">
        <v>2</v>
      </c>
      <c r="D1" s="3" t="s">
        <v>435</v>
      </c>
      <c r="E1" s="3" t="s">
        <v>436</v>
      </c>
      <c r="F1" s="3" t="s">
        <v>7</v>
      </c>
      <c r="G1" s="5" t="s">
        <v>8</v>
      </c>
      <c r="H1" s="3" t="s">
        <v>9</v>
      </c>
      <c r="I1" s="3" t="s">
        <v>437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438</v>
      </c>
      <c r="R1" s="3" t="s">
        <v>19</v>
      </c>
      <c r="S1" s="3" t="s">
        <v>439</v>
      </c>
      <c r="T1" s="3" t="s">
        <v>22</v>
      </c>
      <c r="U1" s="6" t="s">
        <v>22</v>
      </c>
      <c r="V1" s="6" t="s">
        <v>22</v>
      </c>
      <c r="W1" s="6" t="s">
        <v>22</v>
      </c>
    </row>
    <row r="2" spans="1:23">
      <c r="A2" s="39">
        <v>1</v>
      </c>
      <c r="B2" s="40" t="s">
        <v>440</v>
      </c>
      <c r="C2" s="41">
        <v>1000</v>
      </c>
      <c r="D2" s="39" t="s">
        <v>22</v>
      </c>
      <c r="E2" s="39" t="s">
        <v>22</v>
      </c>
      <c r="F2" s="39" t="s">
        <v>22</v>
      </c>
      <c r="G2" s="42">
        <v>45565</v>
      </c>
      <c r="H2" s="40" t="s">
        <v>441</v>
      </c>
      <c r="I2" s="39" t="s">
        <v>22</v>
      </c>
      <c r="J2" s="40" t="s">
        <v>442</v>
      </c>
      <c r="K2" s="6" t="s">
        <v>22</v>
      </c>
      <c r="L2" s="6" t="s">
        <v>22</v>
      </c>
      <c r="M2" s="6" t="s">
        <v>22</v>
      </c>
      <c r="N2" s="6" t="s">
        <v>22</v>
      </c>
      <c r="O2" s="6" t="s">
        <v>22</v>
      </c>
      <c r="P2" s="6" t="s">
        <v>22</v>
      </c>
      <c r="Q2" s="6" t="s">
        <v>22</v>
      </c>
      <c r="R2" s="6" t="s">
        <v>22</v>
      </c>
      <c r="S2" s="6" t="s">
        <v>22</v>
      </c>
      <c r="T2" s="6" t="s">
        <v>22</v>
      </c>
      <c r="U2" s="6" t="s">
        <v>22</v>
      </c>
      <c r="V2" s="6" t="s">
        <v>22</v>
      </c>
      <c r="W2" s="6" t="s">
        <v>22</v>
      </c>
    </row>
    <row r="3" spans="1:23">
      <c r="A3" s="39">
        <v>2</v>
      </c>
      <c r="B3" s="40" t="s">
        <v>443</v>
      </c>
      <c r="C3" s="41">
        <v>1000</v>
      </c>
      <c r="D3" s="39" t="s">
        <v>22</v>
      </c>
      <c r="E3" s="39" t="s">
        <v>22</v>
      </c>
      <c r="F3" s="39" t="s">
        <v>22</v>
      </c>
      <c r="G3" s="42">
        <v>45566</v>
      </c>
      <c r="H3" s="40" t="s">
        <v>444</v>
      </c>
      <c r="I3" s="39" t="s">
        <v>22</v>
      </c>
      <c r="J3" s="40" t="s">
        <v>445</v>
      </c>
      <c r="K3" s="6" t="s">
        <v>22</v>
      </c>
      <c r="L3" s="6" t="s">
        <v>22</v>
      </c>
      <c r="M3" s="6" t="s">
        <v>22</v>
      </c>
      <c r="N3" s="6" t="s">
        <v>22</v>
      </c>
      <c r="O3" s="6" t="s">
        <v>22</v>
      </c>
      <c r="P3" s="6" t="s">
        <v>22</v>
      </c>
      <c r="Q3" s="6" t="s">
        <v>22</v>
      </c>
      <c r="R3" s="6" t="s">
        <v>22</v>
      </c>
      <c r="S3" s="6" t="s">
        <v>22</v>
      </c>
      <c r="T3" s="6" t="s">
        <v>22</v>
      </c>
      <c r="U3" s="6" t="s">
        <v>22</v>
      </c>
      <c r="V3" s="6" t="s">
        <v>22</v>
      </c>
      <c r="W3" s="6" t="s">
        <v>22</v>
      </c>
    </row>
    <row r="4" spans="1:23">
      <c r="A4" s="6">
        <v>3</v>
      </c>
      <c r="B4" s="8" t="s">
        <v>446</v>
      </c>
      <c r="C4" s="9">
        <v>1000</v>
      </c>
      <c r="D4" s="6" t="s">
        <v>22</v>
      </c>
      <c r="E4" s="6" t="s">
        <v>22</v>
      </c>
      <c r="F4" s="6" t="s">
        <v>22</v>
      </c>
      <c r="G4" s="10">
        <v>45567</v>
      </c>
      <c r="H4" s="8" t="s">
        <v>447</v>
      </c>
      <c r="I4" s="6" t="s">
        <v>22</v>
      </c>
      <c r="J4" s="8" t="s">
        <v>448</v>
      </c>
      <c r="K4" s="6" t="s">
        <v>22</v>
      </c>
      <c r="L4" s="6" t="s">
        <v>22</v>
      </c>
      <c r="M4" s="6" t="s">
        <v>22</v>
      </c>
      <c r="N4" s="6" t="s">
        <v>22</v>
      </c>
      <c r="O4" s="6" t="s">
        <v>22</v>
      </c>
      <c r="P4" s="6" t="s">
        <v>22</v>
      </c>
      <c r="Q4" s="6" t="s">
        <v>22</v>
      </c>
      <c r="R4" s="6" t="s">
        <v>22</v>
      </c>
      <c r="S4" s="6" t="s">
        <v>22</v>
      </c>
      <c r="T4" s="6" t="s">
        <v>22</v>
      </c>
      <c r="U4" s="6" t="s">
        <v>22</v>
      </c>
      <c r="V4" s="6" t="s">
        <v>22</v>
      </c>
      <c r="W4" s="6" t="s">
        <v>22</v>
      </c>
    </row>
    <row r="5" spans="1:23">
      <c r="A5" s="6">
        <v>4</v>
      </c>
      <c r="B5" s="8" t="s">
        <v>386</v>
      </c>
      <c r="C5" s="9">
        <v>1000</v>
      </c>
      <c r="D5" s="6" t="s">
        <v>22</v>
      </c>
      <c r="E5" s="6" t="s">
        <v>22</v>
      </c>
      <c r="F5" s="6" t="s">
        <v>22</v>
      </c>
      <c r="G5" s="10">
        <v>45568</v>
      </c>
      <c r="H5" s="8" t="s">
        <v>449</v>
      </c>
      <c r="I5" s="6" t="s">
        <v>22</v>
      </c>
      <c r="J5" s="11" t="s">
        <v>450</v>
      </c>
      <c r="K5" s="6" t="s">
        <v>22</v>
      </c>
      <c r="L5" s="6" t="s">
        <v>22</v>
      </c>
      <c r="M5" s="6" t="s">
        <v>22</v>
      </c>
      <c r="N5" s="6" t="s">
        <v>22</v>
      </c>
      <c r="O5" s="6" t="s">
        <v>22</v>
      </c>
      <c r="P5" s="6" t="s">
        <v>22</v>
      </c>
      <c r="Q5" s="6" t="s">
        <v>22</v>
      </c>
      <c r="R5" s="6" t="s">
        <v>22</v>
      </c>
      <c r="S5" s="6" t="s">
        <v>22</v>
      </c>
      <c r="T5" s="6" t="s">
        <v>22</v>
      </c>
      <c r="U5" s="6" t="s">
        <v>22</v>
      </c>
      <c r="V5" s="6" t="s">
        <v>22</v>
      </c>
      <c r="W5" s="6" t="s">
        <v>22</v>
      </c>
    </row>
    <row r="6" spans="1:23">
      <c r="A6" s="39">
        <v>5</v>
      </c>
      <c r="B6" s="40" t="s">
        <v>451</v>
      </c>
      <c r="C6" s="41">
        <v>1000</v>
      </c>
      <c r="D6" s="39" t="s">
        <v>22</v>
      </c>
      <c r="E6" s="39" t="s">
        <v>22</v>
      </c>
      <c r="F6" s="39" t="s">
        <v>22</v>
      </c>
      <c r="G6" s="42">
        <v>45569</v>
      </c>
      <c r="H6" s="40" t="s">
        <v>452</v>
      </c>
      <c r="I6" s="39" t="s">
        <v>22</v>
      </c>
      <c r="J6" s="43" t="s">
        <v>453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 t="s">
        <v>22</v>
      </c>
      <c r="Q6" s="6" t="s">
        <v>22</v>
      </c>
      <c r="R6" s="6" t="s">
        <v>22</v>
      </c>
      <c r="S6" s="6" t="s">
        <v>22</v>
      </c>
      <c r="T6" s="6" t="s">
        <v>22</v>
      </c>
      <c r="U6" s="6" t="s">
        <v>22</v>
      </c>
      <c r="V6" s="6" t="s">
        <v>22</v>
      </c>
      <c r="W6" s="6" t="s">
        <v>22</v>
      </c>
    </row>
    <row r="7" spans="1:23">
      <c r="A7" s="6">
        <v>7</v>
      </c>
      <c r="B7" s="6" t="s">
        <v>22</v>
      </c>
      <c r="C7" s="9" t="s">
        <v>22</v>
      </c>
      <c r="D7" s="6" t="s">
        <v>22</v>
      </c>
      <c r="E7" s="6" t="s">
        <v>22</v>
      </c>
      <c r="F7" s="6" t="s">
        <v>22</v>
      </c>
      <c r="G7" s="10" t="s">
        <v>22</v>
      </c>
      <c r="H7" s="6" t="s">
        <v>22</v>
      </c>
      <c r="I7" s="6" t="s">
        <v>22</v>
      </c>
      <c r="J7" s="6" t="s">
        <v>22</v>
      </c>
      <c r="K7" s="6" t="s">
        <v>22</v>
      </c>
      <c r="L7" s="6" t="s">
        <v>22</v>
      </c>
      <c r="M7" s="6" t="s">
        <v>22</v>
      </c>
      <c r="N7" s="6" t="s">
        <v>22</v>
      </c>
      <c r="O7" s="6" t="s">
        <v>22</v>
      </c>
      <c r="P7" s="6" t="s">
        <v>22</v>
      </c>
      <c r="Q7" s="6" t="s">
        <v>22</v>
      </c>
      <c r="R7" s="6" t="s">
        <v>22</v>
      </c>
      <c r="S7" s="6" t="s">
        <v>22</v>
      </c>
      <c r="T7" s="6" t="s">
        <v>22</v>
      </c>
      <c r="U7" s="6" t="s">
        <v>22</v>
      </c>
      <c r="V7" s="6" t="s">
        <v>22</v>
      </c>
      <c r="W7" s="6" t="s">
        <v>22</v>
      </c>
    </row>
    <row r="8" spans="1:23">
      <c r="A8" s="6">
        <v>8</v>
      </c>
      <c r="B8" s="6" t="s">
        <v>22</v>
      </c>
      <c r="C8" s="9" t="s">
        <v>22</v>
      </c>
      <c r="D8" s="6" t="s">
        <v>22</v>
      </c>
      <c r="E8" s="6" t="s">
        <v>22</v>
      </c>
      <c r="F8" s="6" t="s">
        <v>22</v>
      </c>
      <c r="G8" s="10" t="s">
        <v>22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6" t="s">
        <v>22</v>
      </c>
      <c r="Q8" s="6" t="s">
        <v>22</v>
      </c>
      <c r="R8" s="6" t="s">
        <v>22</v>
      </c>
      <c r="S8" s="6" t="s">
        <v>22</v>
      </c>
      <c r="T8" s="6" t="s">
        <v>22</v>
      </c>
      <c r="U8" s="6" t="s">
        <v>22</v>
      </c>
      <c r="V8" s="6" t="s">
        <v>22</v>
      </c>
      <c r="W8" s="6" t="s">
        <v>22</v>
      </c>
    </row>
    <row r="9" spans="1:23">
      <c r="A9" s="6">
        <v>9</v>
      </c>
      <c r="B9" s="6" t="s">
        <v>22</v>
      </c>
      <c r="C9" s="9" t="s">
        <v>22</v>
      </c>
      <c r="D9" s="6" t="s">
        <v>22</v>
      </c>
      <c r="E9" s="6" t="s">
        <v>22</v>
      </c>
      <c r="F9" s="6" t="s">
        <v>22</v>
      </c>
      <c r="G9" s="10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 t="s">
        <v>22</v>
      </c>
      <c r="Q9" s="6" t="s">
        <v>22</v>
      </c>
      <c r="R9" s="6" t="s">
        <v>22</v>
      </c>
      <c r="S9" s="6" t="s">
        <v>22</v>
      </c>
      <c r="T9" s="6" t="s">
        <v>22</v>
      </c>
      <c r="U9" s="6" t="s">
        <v>22</v>
      </c>
      <c r="V9" s="6" t="s">
        <v>22</v>
      </c>
      <c r="W9" s="6" t="s">
        <v>22</v>
      </c>
    </row>
    <row r="10" spans="1:23">
      <c r="A10" s="6">
        <v>10</v>
      </c>
    </row>
  </sheetData>
  <hyperlinks>
    <hyperlink ref="J5" r:id="rId1" xr:uid="{FB5492A2-11D2-45EC-9398-A45907A2375B}"/>
    <hyperlink ref="J6" r:id="rId2" xr:uid="{3533D25B-6816-4488-BC4F-C310FC9306FF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2471-5E87-4875-A7AF-B8E519812576}">
  <dimension ref="A1:U48"/>
  <sheetViews>
    <sheetView workbookViewId="0">
      <selection activeCell="A3" sqref="A3"/>
    </sheetView>
  </sheetViews>
  <sheetFormatPr defaultRowHeight="14.45"/>
  <cols>
    <col min="1" max="1" width="6.140625" customWidth="1"/>
    <col min="2" max="2" width="46.28515625" customWidth="1"/>
    <col min="3" max="3" width="18.42578125" customWidth="1"/>
    <col min="4" max="4" width="18.140625" customWidth="1"/>
    <col min="5" max="5" width="27.7109375" customWidth="1"/>
    <col min="7" max="7" width="28" customWidth="1"/>
    <col min="8" max="8" width="18.85546875" customWidth="1"/>
    <col min="9" max="9" width="19.28515625" customWidth="1"/>
    <col min="10" max="10" width="40" customWidth="1"/>
    <col min="11" max="11" width="19.28515625" customWidth="1"/>
    <col min="12" max="12" width="19.140625" customWidth="1"/>
    <col min="13" max="13" width="17.85546875" customWidth="1"/>
    <col min="14" max="14" width="18.5703125" customWidth="1"/>
    <col min="15" max="15" width="11.5703125" customWidth="1"/>
    <col min="16" max="16" width="46.28515625" customWidth="1"/>
    <col min="17" max="17" width="18.42578125" customWidth="1"/>
    <col min="18" max="18" width="22.7109375" customWidth="1"/>
    <col min="19" max="19" width="46.140625" customWidth="1"/>
    <col min="20" max="20" width="28.42578125" customWidth="1"/>
  </cols>
  <sheetData>
    <row r="1" spans="1:21" ht="21">
      <c r="A1" s="80" t="s">
        <v>0</v>
      </c>
      <c r="B1" s="81" t="s">
        <v>1</v>
      </c>
      <c r="C1" s="82" t="s">
        <v>2</v>
      </c>
      <c r="D1" s="81" t="s">
        <v>435</v>
      </c>
      <c r="E1" s="81" t="s">
        <v>436</v>
      </c>
      <c r="F1" s="81" t="s">
        <v>7</v>
      </c>
      <c r="G1" s="84" t="s">
        <v>8</v>
      </c>
      <c r="H1" s="83" t="s">
        <v>9</v>
      </c>
      <c r="I1" s="88" t="s">
        <v>437</v>
      </c>
      <c r="J1" s="90" t="s">
        <v>11</v>
      </c>
      <c r="K1" s="83" t="s">
        <v>12</v>
      </c>
      <c r="L1" s="83" t="s">
        <v>13</v>
      </c>
      <c r="M1" s="83" t="s">
        <v>14</v>
      </c>
      <c r="N1" s="106" t="s">
        <v>15</v>
      </c>
      <c r="O1" s="83" t="s">
        <v>16</v>
      </c>
      <c r="P1" s="106" t="s">
        <v>17</v>
      </c>
      <c r="Q1" s="88" t="s">
        <v>438</v>
      </c>
      <c r="R1" s="90" t="s">
        <v>19</v>
      </c>
      <c r="S1" s="102" t="s">
        <v>439</v>
      </c>
      <c r="T1" s="86" t="s">
        <v>21</v>
      </c>
      <c r="U1" s="3"/>
    </row>
    <row r="2" spans="1:21" ht="21">
      <c r="A2" s="95">
        <v>1</v>
      </c>
      <c r="B2" s="79" t="s">
        <v>106</v>
      </c>
      <c r="C2" s="94" t="s">
        <v>361</v>
      </c>
      <c r="D2" s="78"/>
      <c r="E2" s="78"/>
      <c r="F2" s="78"/>
      <c r="G2" s="85"/>
      <c r="H2" s="79" t="s">
        <v>109</v>
      </c>
      <c r="I2" s="89" t="s">
        <v>364</v>
      </c>
      <c r="J2" s="98" t="s">
        <v>111</v>
      </c>
      <c r="K2" s="91" t="s">
        <v>112</v>
      </c>
      <c r="L2" s="91" t="s">
        <v>113</v>
      </c>
      <c r="M2" s="110" t="s">
        <v>61</v>
      </c>
      <c r="N2" s="91" t="s">
        <v>114</v>
      </c>
      <c r="O2" s="107" t="s">
        <v>32</v>
      </c>
      <c r="P2" s="79" t="s">
        <v>115</v>
      </c>
      <c r="Q2" s="108">
        <v>2616</v>
      </c>
      <c r="R2" s="91" t="s">
        <v>116</v>
      </c>
      <c r="S2" s="103"/>
      <c r="T2" s="100" t="s">
        <v>34</v>
      </c>
    </row>
    <row r="3" spans="1:21" ht="21">
      <c r="A3" s="95">
        <v>2</v>
      </c>
      <c r="B3" s="92" t="s">
        <v>64</v>
      </c>
      <c r="C3" s="94" t="s">
        <v>361</v>
      </c>
      <c r="D3" s="78"/>
      <c r="E3" s="78"/>
      <c r="F3" s="78"/>
      <c r="G3" s="78"/>
      <c r="H3" s="96" t="s">
        <v>366</v>
      </c>
      <c r="I3" s="97" t="s">
        <v>66</v>
      </c>
      <c r="J3" s="99" t="s">
        <v>67</v>
      </c>
      <c r="K3" s="87"/>
      <c r="L3" s="87"/>
      <c r="M3" s="87"/>
      <c r="N3" s="87"/>
      <c r="O3" s="101"/>
      <c r="P3" s="78"/>
      <c r="Q3" s="109"/>
      <c r="R3" s="105"/>
      <c r="S3" s="104"/>
      <c r="T3" s="92" t="s">
        <v>34</v>
      </c>
    </row>
    <row r="4" spans="1:21" ht="18.600000000000001">
      <c r="A4" s="78"/>
      <c r="B4" s="78"/>
      <c r="C4" s="93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87"/>
      <c r="Q4" s="78"/>
      <c r="R4" s="87"/>
      <c r="S4" s="78"/>
      <c r="T4" s="78"/>
    </row>
    <row r="5" spans="1:21" ht="21">
      <c r="A5" s="78"/>
      <c r="B5" s="78"/>
      <c r="C5" s="78"/>
      <c r="D5" s="78"/>
      <c r="E5" s="78"/>
      <c r="F5" s="78"/>
      <c r="G5" s="78"/>
      <c r="H5" s="78"/>
      <c r="I5" s="78"/>
      <c r="J5" s="91"/>
      <c r="K5" s="78"/>
      <c r="L5" s="78"/>
      <c r="M5" s="78"/>
      <c r="N5" s="78"/>
      <c r="O5" s="78"/>
      <c r="P5" s="78"/>
      <c r="Q5" s="78"/>
      <c r="R5" s="78"/>
      <c r="S5" s="78"/>
      <c r="T5" s="78"/>
    </row>
    <row r="6" spans="1:21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</row>
    <row r="7" spans="1:21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</row>
    <row r="8" spans="1:21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</row>
    <row r="9" spans="1:2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</row>
    <row r="10" spans="1:21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1" spans="1:2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</row>
    <row r="12" spans="1:2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</row>
    <row r="13" spans="1:21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</row>
    <row r="14" spans="1:2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</row>
    <row r="15" spans="1:2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</row>
    <row r="16" spans="1:2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</row>
    <row r="17" spans="1:20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1:20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</row>
    <row r="19" spans="1:20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</row>
    <row r="20" spans="1: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</row>
    <row r="21" spans="1:20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</row>
    <row r="22" spans="1:20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</row>
    <row r="23" spans="1:20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</row>
    <row r="24" spans="1:20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</row>
    <row r="25" spans="1:20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</row>
    <row r="26" spans="1:20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</row>
    <row r="27" spans="1:20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</row>
    <row r="28" spans="1:20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</row>
    <row r="29" spans="1:20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</row>
    <row r="30" spans="1:2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</row>
    <row r="31" spans="1:20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</row>
    <row r="32" spans="1:20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</row>
    <row r="33" spans="1:20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</row>
    <row r="34" spans="1:20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</row>
    <row r="35" spans="1:20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</row>
    <row r="36" spans="1:20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</row>
    <row r="37" spans="1:20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</row>
    <row r="38" spans="1:20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</row>
    <row r="39" spans="1:20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</row>
    <row r="40" spans="1:2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</row>
    <row r="41" spans="1:20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</row>
    <row r="42" spans="1:20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</row>
    <row r="43" spans="1:20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</row>
    <row r="44" spans="1:20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</row>
    <row r="45" spans="1:20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</row>
    <row r="46" spans="1:20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</row>
    <row r="47" spans="1:20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</row>
    <row r="48" spans="1:20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</row>
  </sheetData>
  <hyperlinks>
    <hyperlink ref="J3" r:id="rId1" xr:uid="{7BBA4BE0-EB0F-4925-A7C6-B60BF09E6A18}"/>
    <hyperlink ref="J2" r:id="rId2" xr:uid="{2C30D988-5A64-4C76-B962-3C18D5B9324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6BAD-F8A9-46F7-B135-2971939D507A}">
  <dimension ref="A1:C27"/>
  <sheetViews>
    <sheetView workbookViewId="0">
      <selection activeCell="A27" sqref="A27"/>
    </sheetView>
  </sheetViews>
  <sheetFormatPr defaultRowHeight="14.45"/>
  <cols>
    <col min="1" max="1" width="46.42578125" customWidth="1"/>
    <col min="2" max="2" width="50" style="194" customWidth="1"/>
    <col min="3" max="3" width="22.5703125" customWidth="1"/>
  </cols>
  <sheetData>
    <row r="1" spans="1:3" s="200" customFormat="1" ht="15.95">
      <c r="A1" s="199" t="s">
        <v>454</v>
      </c>
      <c r="B1" s="199" t="s">
        <v>11</v>
      </c>
      <c r="C1" s="199" t="s">
        <v>21</v>
      </c>
    </row>
    <row r="2" spans="1:3" ht="21">
      <c r="A2" s="70" t="s">
        <v>148</v>
      </c>
      <c r="B2" s="99" t="s">
        <v>149</v>
      </c>
      <c r="C2" s="76" t="s">
        <v>34</v>
      </c>
    </row>
    <row r="3" spans="1:3" ht="21">
      <c r="A3" s="56" t="s">
        <v>167</v>
      </c>
      <c r="B3" s="60" t="s">
        <v>168</v>
      </c>
      <c r="C3" s="49" t="s">
        <v>34</v>
      </c>
    </row>
    <row r="4" spans="1:3" ht="21">
      <c r="A4" s="115" t="s">
        <v>182</v>
      </c>
      <c r="B4" s="180" t="s">
        <v>183</v>
      </c>
      <c r="C4" s="113" t="s">
        <v>34</v>
      </c>
    </row>
    <row r="5" spans="1:3" ht="21">
      <c r="A5" s="56" t="s">
        <v>197</v>
      </c>
      <c r="B5" s="60" t="s">
        <v>198</v>
      </c>
      <c r="C5" s="56" t="s">
        <v>34</v>
      </c>
    </row>
    <row r="6" spans="1:3" ht="21">
      <c r="A6" s="91" t="s">
        <v>455</v>
      </c>
      <c r="B6" s="181" t="s">
        <v>211</v>
      </c>
      <c r="C6" s="49" t="s">
        <v>34</v>
      </c>
    </row>
    <row r="7" spans="1:3" ht="21">
      <c r="A7" s="62" t="s">
        <v>220</v>
      </c>
      <c r="B7" s="99" t="s">
        <v>221</v>
      </c>
      <c r="C7" s="49" t="s">
        <v>34</v>
      </c>
    </row>
    <row r="8" spans="1:3" ht="21">
      <c r="A8" s="49" t="s">
        <v>232</v>
      </c>
      <c r="B8" s="63" t="s">
        <v>233</v>
      </c>
      <c r="C8" s="49" t="s">
        <v>34</v>
      </c>
    </row>
    <row r="9" spans="1:3" ht="21">
      <c r="A9" s="49" t="s">
        <v>245</v>
      </c>
      <c r="B9" s="67" t="s">
        <v>246</v>
      </c>
      <c r="C9" s="49" t="s">
        <v>34</v>
      </c>
    </row>
    <row r="10" spans="1:3" ht="21">
      <c r="A10" s="56" t="s">
        <v>256</v>
      </c>
      <c r="B10" s="149" t="s">
        <v>257</v>
      </c>
      <c r="C10" s="56" t="s">
        <v>34</v>
      </c>
    </row>
    <row r="11" spans="1:3" ht="21">
      <c r="A11" s="49" t="s">
        <v>268</v>
      </c>
      <c r="B11" s="65" t="s">
        <v>269</v>
      </c>
      <c r="C11" s="49" t="s">
        <v>34</v>
      </c>
    </row>
    <row r="12" spans="1:3" ht="23.25" customHeight="1">
      <c r="A12" s="69" t="s">
        <v>279</v>
      </c>
      <c r="B12" s="175" t="s">
        <v>280</v>
      </c>
      <c r="C12" s="56" t="s">
        <v>34</v>
      </c>
    </row>
    <row r="13" spans="1:3" ht="21">
      <c r="A13" s="56" t="s">
        <v>290</v>
      </c>
      <c r="B13" s="54" t="s">
        <v>291</v>
      </c>
      <c r="C13" s="49" t="s">
        <v>34</v>
      </c>
    </row>
    <row r="14" spans="1:3" ht="21">
      <c r="A14" s="91" t="s">
        <v>300</v>
      </c>
      <c r="B14" s="54" t="s">
        <v>301</v>
      </c>
      <c r="C14" s="49" t="s">
        <v>34</v>
      </c>
    </row>
    <row r="15" spans="1:3" ht="21">
      <c r="A15" s="56" t="s">
        <v>311</v>
      </c>
      <c r="B15" s="54" t="s">
        <v>312</v>
      </c>
      <c r="C15" s="56" t="s">
        <v>34</v>
      </c>
    </row>
    <row r="16" spans="1:3" ht="21">
      <c r="A16" s="56" t="s">
        <v>321</v>
      </c>
      <c r="B16" s="128" t="s">
        <v>322</v>
      </c>
      <c r="C16" s="56" t="s">
        <v>34</v>
      </c>
    </row>
    <row r="17" spans="1:3" ht="21">
      <c r="A17" s="73" t="s">
        <v>333</v>
      </c>
      <c r="B17" s="178" t="s">
        <v>334</v>
      </c>
      <c r="C17" s="73" t="s">
        <v>34</v>
      </c>
    </row>
    <row r="18" spans="1:3" ht="21">
      <c r="A18" s="56" t="s">
        <v>342</v>
      </c>
      <c r="B18" s="175" t="s">
        <v>343</v>
      </c>
      <c r="C18" s="56"/>
    </row>
    <row r="19" spans="1:3" ht="21">
      <c r="A19" s="56" t="s">
        <v>351</v>
      </c>
      <c r="B19" s="175" t="s">
        <v>352</v>
      </c>
      <c r="C19" s="56" t="s">
        <v>34</v>
      </c>
    </row>
    <row r="20" spans="1:3" ht="21">
      <c r="A20" s="123" t="s">
        <v>106</v>
      </c>
      <c r="B20" s="98" t="s">
        <v>111</v>
      </c>
      <c r="C20" s="121" t="s">
        <v>34</v>
      </c>
    </row>
    <row r="21" spans="1:3" ht="21">
      <c r="A21" s="125" t="s">
        <v>64</v>
      </c>
      <c r="B21" s="99" t="s">
        <v>67</v>
      </c>
      <c r="C21" s="49" t="s">
        <v>34</v>
      </c>
    </row>
    <row r="22" spans="1:3" ht="21">
      <c r="A22" s="124" t="s">
        <v>456</v>
      </c>
      <c r="B22" s="77" t="s">
        <v>368</v>
      </c>
      <c r="C22" s="56" t="s">
        <v>34</v>
      </c>
    </row>
    <row r="23" spans="1:3" ht="21">
      <c r="A23" s="125" t="s">
        <v>374</v>
      </c>
      <c r="B23" s="63" t="s">
        <v>375</v>
      </c>
      <c r="C23" s="73" t="s">
        <v>34</v>
      </c>
    </row>
    <row r="24" spans="1:3" ht="21">
      <c r="A24" s="126" t="s">
        <v>457</v>
      </c>
      <c r="B24" s="187" t="s">
        <v>76</v>
      </c>
      <c r="C24" s="193" t="s">
        <v>34</v>
      </c>
    </row>
    <row r="25" spans="1:3" ht="21">
      <c r="A25" s="124" t="s">
        <v>458</v>
      </c>
      <c r="B25" s="195" t="s">
        <v>387</v>
      </c>
      <c r="C25" s="70" t="s">
        <v>34</v>
      </c>
    </row>
    <row r="26" spans="1:3" ht="21">
      <c r="A26" s="124" t="s">
        <v>400</v>
      </c>
      <c r="B26" s="60" t="s">
        <v>27</v>
      </c>
      <c r="C26" s="73" t="s">
        <v>34</v>
      </c>
    </row>
    <row r="27" spans="1:3" ht="21">
      <c r="A27" s="132" t="s">
        <v>96</v>
      </c>
      <c r="B27" s="187" t="s">
        <v>99</v>
      </c>
      <c r="C27" s="56" t="s">
        <v>34</v>
      </c>
    </row>
  </sheetData>
  <autoFilter ref="A1:C1" xr:uid="{36716BAD-F8A9-46F7-B135-2971939D507A}"/>
  <hyperlinks>
    <hyperlink ref="B8" r:id="rId1" xr:uid="{7CDFEFE8-AA01-42BA-A1BF-350ABB514016}"/>
    <hyperlink ref="B2" r:id="rId2" xr:uid="{BB4F089A-A7C1-4A0B-92CF-D05C50BC04A4}"/>
    <hyperlink ref="B3" r:id="rId3" xr:uid="{844E5669-E11D-4B81-9457-4F13384B52E5}"/>
    <hyperlink ref="B4" r:id="rId4" xr:uid="{6A965D91-0B69-4696-802E-32D1FD183E9A}"/>
    <hyperlink ref="B5" r:id="rId5" xr:uid="{6EDBA135-2629-4B80-8B19-CA23FEC3F610}"/>
    <hyperlink ref="B7" r:id="rId6" xr:uid="{666BE2F4-CD07-474B-9CDE-B793B77EEFC6}"/>
    <hyperlink ref="B9" r:id="rId7" xr:uid="{5A75F426-3135-4B0C-8F10-B885DEC0A4BA}"/>
    <hyperlink ref="B11" r:id="rId8" xr:uid="{C7EB2B9F-EECE-48B7-B208-5B60EF9530AA}"/>
    <hyperlink ref="B13" r:id="rId9" xr:uid="{0B304DD5-3CAE-49F5-85B4-7B616975DE95}"/>
    <hyperlink ref="B21" r:id="rId10" xr:uid="{49421BD9-0CA8-4AC4-A10D-75C3D8AC7EFC}"/>
    <hyperlink ref="B20" r:id="rId11" xr:uid="{E7146FD2-1917-4882-9D1E-D43F378B6ED4}"/>
    <hyperlink ref="B14" r:id="rId12" xr:uid="{FA96CF81-B96A-4F77-9B71-220D88D05B0C}"/>
    <hyperlink ref="B15" r:id="rId13" xr:uid="{07B3E41C-2F90-4D33-91B9-BD183766276E}"/>
    <hyperlink ref="B16" r:id="rId14" xr:uid="{08ABCB17-20DF-4BDE-A079-291F01272212}"/>
    <hyperlink ref="B18" r:id="rId15" xr:uid="{ACA6065E-93DE-47C2-86FB-FCEEDF0BCA37}"/>
    <hyperlink ref="B19" r:id="rId16" xr:uid="{2305D24D-FF7B-42D6-B4B0-D8A38D64AFEA}"/>
    <hyperlink ref="B26" r:id="rId17" xr:uid="{AE3509A9-A23F-4C8F-A6B1-5549DFAC0275}"/>
    <hyperlink ref="B22" r:id="rId18" xr:uid="{9C7C0C1D-0CE7-4E00-BC6B-D3955DA3C728}"/>
    <hyperlink ref="B12" r:id="rId19" xr:uid="{E1572499-A5E6-4FAC-863F-C96764511875}"/>
    <hyperlink ref="B17" r:id="rId20" xr:uid="{BAA55A04-EFDA-4F70-862C-FB157B912EA0}"/>
    <hyperlink ref="B6" r:id="rId21" xr:uid="{783B1340-AE19-4DB1-9064-BD8499429B65}"/>
    <hyperlink ref="B24" r:id="rId22" xr:uid="{E3346955-43B4-4321-BE0C-677A39E714A9}"/>
    <hyperlink ref="B10" r:id="rId23" xr:uid="{F6B3C954-4D89-4A2B-96F5-24728149E3D8}"/>
    <hyperlink ref="B27" r:id="rId24" xr:uid="{B581ADC4-8561-405F-8F5F-5A2DF3DE7EC0}"/>
    <hyperlink ref="B25" r:id="rId25" xr:uid="{51DCBE93-674C-44A3-9AB6-8C510D558CFB}"/>
    <hyperlink ref="B23" r:id="rId26" xr:uid="{69DC4BB9-92B8-44A8-909C-1D184F7B0CE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183A-7ABC-4BA4-BF4D-2099A1914204}">
  <dimension ref="A1:F28"/>
  <sheetViews>
    <sheetView workbookViewId="0"/>
  </sheetViews>
  <sheetFormatPr defaultRowHeight="14.45"/>
  <cols>
    <col min="1" max="1" width="48.85546875" customWidth="1"/>
    <col min="2" max="2" width="27.140625" style="214" customWidth="1"/>
    <col min="3" max="3" width="18.42578125" customWidth="1"/>
    <col min="4" max="4" width="18.85546875" customWidth="1"/>
    <col min="5" max="5" width="18.5703125" customWidth="1"/>
    <col min="6" max="6" width="27.140625" customWidth="1"/>
  </cols>
  <sheetData>
    <row r="1" spans="1:6" ht="21">
      <c r="A1" s="56" t="s">
        <v>321</v>
      </c>
      <c r="B1" s="211">
        <v>20000</v>
      </c>
      <c r="C1" s="207" t="s">
        <v>459</v>
      </c>
      <c r="D1" s="207"/>
      <c r="E1" s="207"/>
      <c r="F1" s="207"/>
    </row>
    <row r="2" spans="1:6" ht="21">
      <c r="A2" s="73" t="s">
        <v>333</v>
      </c>
      <c r="B2" s="212">
        <v>20000</v>
      </c>
      <c r="C2" s="91" t="s">
        <v>459</v>
      </c>
      <c r="D2" s="78"/>
      <c r="E2" s="78"/>
      <c r="F2" s="78"/>
    </row>
    <row r="3" spans="1:6" ht="21">
      <c r="A3" s="56" t="s">
        <v>342</v>
      </c>
      <c r="B3" s="212">
        <v>20000</v>
      </c>
      <c r="C3" s="91" t="s">
        <v>459</v>
      </c>
      <c r="D3" s="78"/>
      <c r="E3" s="78"/>
      <c r="F3" s="78"/>
    </row>
    <row r="4" spans="1:6" ht="21">
      <c r="A4" s="56" t="s">
        <v>351</v>
      </c>
      <c r="B4" s="140">
        <v>20000</v>
      </c>
      <c r="C4" s="91" t="s">
        <v>459</v>
      </c>
      <c r="D4" s="78"/>
      <c r="E4" s="78"/>
      <c r="F4" s="78"/>
    </row>
    <row r="5" spans="1:6" ht="21">
      <c r="A5" s="143" t="s">
        <v>460</v>
      </c>
      <c r="B5" s="140">
        <v>7000</v>
      </c>
      <c r="C5" s="91" t="s">
        <v>461</v>
      </c>
      <c r="D5" s="78"/>
      <c r="E5" s="78"/>
      <c r="F5" s="78"/>
    </row>
    <row r="6" spans="1:6" ht="21">
      <c r="A6" s="110" t="s">
        <v>462</v>
      </c>
      <c r="B6" s="212">
        <v>7000</v>
      </c>
      <c r="C6" s="91" t="s">
        <v>461</v>
      </c>
      <c r="D6" s="78"/>
      <c r="E6" s="78"/>
      <c r="F6" s="78"/>
    </row>
    <row r="7" spans="1:6" ht="21">
      <c r="A7" s="215" t="s">
        <v>463</v>
      </c>
      <c r="B7" s="212">
        <v>16000</v>
      </c>
      <c r="C7" s="91" t="s">
        <v>464</v>
      </c>
      <c r="D7" s="78"/>
      <c r="E7" s="78"/>
      <c r="F7" s="78"/>
    </row>
    <row r="8" spans="1:6" ht="21">
      <c r="A8" s="89"/>
      <c r="B8" s="212"/>
      <c r="C8" s="91"/>
      <c r="D8" s="78"/>
      <c r="E8" s="78"/>
      <c r="F8" s="78"/>
    </row>
    <row r="9" spans="1:6" ht="21">
      <c r="A9" s="89" t="s">
        <v>465</v>
      </c>
      <c r="B9" s="212">
        <f>SUM(B1:B8)</f>
        <v>110000</v>
      </c>
      <c r="C9" s="91"/>
      <c r="D9" s="78"/>
      <c r="E9" s="78"/>
      <c r="F9" s="78"/>
    </row>
    <row r="10" spans="1:6" ht="21">
      <c r="A10" s="89"/>
      <c r="B10" s="212"/>
      <c r="C10" s="91"/>
      <c r="D10" s="78"/>
      <c r="E10" s="78"/>
      <c r="F10" s="78"/>
    </row>
    <row r="11" spans="1:6" ht="21">
      <c r="A11" s="89"/>
      <c r="B11" s="212"/>
      <c r="C11" s="91"/>
      <c r="D11" s="78"/>
      <c r="E11" s="78"/>
      <c r="F11" s="78"/>
    </row>
    <row r="12" spans="1:6" ht="21">
      <c r="A12" s="89"/>
      <c r="B12" s="212"/>
      <c r="C12" s="91"/>
      <c r="D12" s="78"/>
      <c r="E12" s="78"/>
      <c r="F12" s="78"/>
    </row>
    <row r="13" spans="1:6" ht="21">
      <c r="A13" s="208"/>
      <c r="B13" s="140"/>
      <c r="C13" s="91"/>
      <c r="D13" s="78"/>
      <c r="E13" s="78"/>
      <c r="F13" s="78"/>
    </row>
    <row r="14" spans="1:6" ht="21">
      <c r="A14" s="208"/>
      <c r="B14" s="140"/>
      <c r="C14" s="91"/>
      <c r="D14" s="78"/>
      <c r="E14" s="78"/>
      <c r="F14" s="78"/>
    </row>
    <row r="15" spans="1:6" ht="21">
      <c r="A15" s="206"/>
      <c r="B15" s="211"/>
      <c r="C15" s="207"/>
      <c r="D15" s="207"/>
      <c r="E15" s="207"/>
      <c r="F15" s="207"/>
    </row>
    <row r="16" spans="1:6">
      <c r="A16" s="78"/>
      <c r="B16" s="213"/>
      <c r="C16" s="78"/>
      <c r="D16" s="78"/>
      <c r="E16" s="78"/>
      <c r="F16" s="78"/>
    </row>
    <row r="17" spans="1:6">
      <c r="A17" s="78"/>
      <c r="B17" s="213"/>
      <c r="C17" s="78"/>
      <c r="D17" s="78"/>
      <c r="E17" s="78"/>
      <c r="F17" s="78"/>
    </row>
    <row r="18" spans="1:6">
      <c r="A18" s="78"/>
      <c r="B18" s="213"/>
      <c r="C18" s="78"/>
      <c r="D18" s="78"/>
      <c r="E18" s="78"/>
      <c r="F18" s="78"/>
    </row>
    <row r="19" spans="1:6">
      <c r="A19" s="78"/>
      <c r="B19" s="213"/>
      <c r="C19" s="78"/>
      <c r="D19" s="78"/>
      <c r="E19" s="78"/>
      <c r="F19" s="78"/>
    </row>
    <row r="20" spans="1:6">
      <c r="A20" s="78"/>
      <c r="B20" s="213"/>
      <c r="C20" s="78"/>
      <c r="D20" s="78"/>
      <c r="E20" s="78"/>
      <c r="F20" s="78"/>
    </row>
    <row r="21" spans="1:6">
      <c r="A21" s="78"/>
      <c r="B21" s="213"/>
      <c r="C21" s="78"/>
      <c r="D21" s="78"/>
      <c r="E21" s="78"/>
      <c r="F21" s="78"/>
    </row>
    <row r="22" spans="1:6">
      <c r="A22" s="78"/>
      <c r="B22" s="213"/>
      <c r="C22" s="78"/>
      <c r="D22" s="78"/>
      <c r="E22" s="78"/>
      <c r="F22" s="78"/>
    </row>
    <row r="23" spans="1:6">
      <c r="A23" s="78"/>
      <c r="B23" s="213"/>
      <c r="C23" s="78"/>
      <c r="D23" s="78"/>
      <c r="E23" s="78"/>
      <c r="F23" s="78"/>
    </row>
    <row r="24" spans="1:6">
      <c r="A24" s="78"/>
      <c r="B24" s="213"/>
      <c r="C24" s="78"/>
      <c r="D24" s="78"/>
      <c r="E24" s="78"/>
      <c r="F24" s="78"/>
    </row>
    <row r="25" spans="1:6">
      <c r="A25" s="78"/>
      <c r="B25" s="213"/>
      <c r="C25" s="78"/>
      <c r="D25" s="78"/>
      <c r="E25" s="78"/>
      <c r="F25" s="78"/>
    </row>
    <row r="26" spans="1:6">
      <c r="A26" s="78"/>
      <c r="B26" s="213"/>
      <c r="C26" s="78"/>
      <c r="D26" s="78"/>
      <c r="E26" s="78"/>
      <c r="F26" s="78"/>
    </row>
    <row r="27" spans="1:6">
      <c r="A27" s="78"/>
      <c r="B27" s="213"/>
      <c r="C27" s="78"/>
      <c r="D27" s="78"/>
      <c r="E27" s="78"/>
      <c r="F27" s="78"/>
    </row>
    <row r="28" spans="1:6">
      <c r="A28" s="78"/>
      <c r="B28" s="213"/>
      <c r="C28" s="78"/>
      <c r="D28" s="78"/>
      <c r="E28" s="78"/>
      <c r="F28" s="7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3722-B54C-4719-A4B3-0DBE0B6BC54E}">
  <dimension ref="A1:G36"/>
  <sheetViews>
    <sheetView workbookViewId="0">
      <selection activeCell="A24" sqref="A24"/>
    </sheetView>
  </sheetViews>
  <sheetFormatPr defaultRowHeight="18.600000000000001"/>
  <cols>
    <col min="1" max="1" width="48.7109375" customWidth="1"/>
    <col min="2" max="2" width="21.7109375" style="264" customWidth="1"/>
    <col min="3" max="3" width="23.7109375" style="234" customWidth="1"/>
    <col min="4" max="4" width="16.28515625" customWidth="1"/>
    <col min="5" max="5" width="16.28515625" style="194" customWidth="1"/>
  </cols>
  <sheetData>
    <row r="1" spans="1:7">
      <c r="A1" s="239" t="s">
        <v>466</v>
      </c>
      <c r="B1" s="260" t="s">
        <v>467</v>
      </c>
      <c r="C1" s="241" t="s">
        <v>468</v>
      </c>
      <c r="D1" s="239" t="s">
        <v>469</v>
      </c>
      <c r="E1" s="258" t="s">
        <v>470</v>
      </c>
      <c r="F1" s="239" t="s">
        <v>471</v>
      </c>
      <c r="G1" s="239"/>
    </row>
    <row r="2" spans="1:7">
      <c r="A2" s="242" t="s">
        <v>148</v>
      </c>
      <c r="B2" s="261">
        <v>20000</v>
      </c>
      <c r="C2" s="243">
        <v>22784</v>
      </c>
      <c r="D2" s="240">
        <f>Tabela1[[#This Row],[VALOR]]*2.5%</f>
        <v>500</v>
      </c>
      <c r="E2" s="259" t="s">
        <v>472</v>
      </c>
      <c r="F2" s="239" t="s">
        <v>473</v>
      </c>
      <c r="G2" s="239"/>
    </row>
    <row r="3" spans="1:7">
      <c r="A3" s="242" t="s">
        <v>167</v>
      </c>
      <c r="B3" s="261">
        <v>20000</v>
      </c>
      <c r="C3" s="244">
        <v>22577.57</v>
      </c>
      <c r="D3" s="240">
        <f>Tabela1[[#This Row],[VALOR]]*2.5%</f>
        <v>500</v>
      </c>
      <c r="E3" s="259" t="s">
        <v>472</v>
      </c>
      <c r="F3" s="239" t="s">
        <v>473</v>
      </c>
      <c r="G3" s="239"/>
    </row>
    <row r="4" spans="1:7">
      <c r="A4" s="245" t="s">
        <v>182</v>
      </c>
      <c r="B4" s="261">
        <v>20000</v>
      </c>
      <c r="C4" s="243">
        <v>20000</v>
      </c>
      <c r="D4" s="240">
        <f>Tabela1[[#This Row],[VALOR]]*2.5%</f>
        <v>500</v>
      </c>
      <c r="E4" s="259" t="s">
        <v>472</v>
      </c>
      <c r="F4" s="239" t="s">
        <v>473</v>
      </c>
      <c r="G4" s="239"/>
    </row>
    <row r="5" spans="1:7">
      <c r="A5" s="242" t="s">
        <v>197</v>
      </c>
      <c r="B5" s="261">
        <v>20000</v>
      </c>
      <c r="C5" s="244">
        <v>20922</v>
      </c>
      <c r="D5" s="240">
        <f>Tabela1[[#This Row],[VALOR]]*2.5%</f>
        <v>500</v>
      </c>
      <c r="E5" s="259" t="s">
        <v>472</v>
      </c>
      <c r="F5" s="239" t="s">
        <v>473</v>
      </c>
      <c r="G5" s="239"/>
    </row>
    <row r="6" spans="1:7">
      <c r="A6" s="246" t="s">
        <v>455</v>
      </c>
      <c r="B6" s="261">
        <v>20000</v>
      </c>
      <c r="C6" s="243">
        <v>20000</v>
      </c>
      <c r="D6" s="240">
        <f>Tabela1[[#This Row],[VALOR]]*2.5%</f>
        <v>500</v>
      </c>
      <c r="E6" s="259" t="s">
        <v>472</v>
      </c>
      <c r="F6" s="239" t="s">
        <v>473</v>
      </c>
      <c r="G6" s="239"/>
    </row>
    <row r="7" spans="1:7">
      <c r="A7" s="247" t="s">
        <v>220</v>
      </c>
      <c r="B7" s="261">
        <v>20000</v>
      </c>
      <c r="C7" s="243">
        <v>20000</v>
      </c>
      <c r="D7" s="240">
        <f>Tabela1[[#This Row],[VALOR]]*2.5%</f>
        <v>500</v>
      </c>
      <c r="E7" s="259" t="s">
        <v>472</v>
      </c>
      <c r="F7" s="239" t="s">
        <v>474</v>
      </c>
      <c r="G7" s="239"/>
    </row>
    <row r="8" spans="1:7">
      <c r="A8" s="245" t="s">
        <v>232</v>
      </c>
      <c r="B8" s="261">
        <v>20000</v>
      </c>
      <c r="C8" s="243">
        <v>22012</v>
      </c>
      <c r="D8" s="240">
        <f>Tabela1[[#This Row],[VALOR]]*2.5%</f>
        <v>500</v>
      </c>
      <c r="E8" s="259" t="s">
        <v>472</v>
      </c>
      <c r="F8" s="239" t="s">
        <v>474</v>
      </c>
      <c r="G8" s="239"/>
    </row>
    <row r="9" spans="1:7">
      <c r="A9" s="245" t="s">
        <v>245</v>
      </c>
      <c r="B9" s="261">
        <v>20000</v>
      </c>
      <c r="C9" s="243">
        <v>22012</v>
      </c>
      <c r="D9" s="240">
        <f>Tabela1[[#This Row],[VALOR]]*2.5%</f>
        <v>500</v>
      </c>
      <c r="E9" s="259" t="s">
        <v>472</v>
      </c>
      <c r="F9" s="239" t="s">
        <v>474</v>
      </c>
      <c r="G9" s="239"/>
    </row>
    <row r="10" spans="1:7">
      <c r="A10" s="242" t="s">
        <v>256</v>
      </c>
      <c r="B10" s="261">
        <v>20000</v>
      </c>
      <c r="C10" s="243">
        <v>20000</v>
      </c>
      <c r="D10" s="240">
        <f>Tabela1[[#This Row],[VALOR]]*2.5%</f>
        <v>500</v>
      </c>
      <c r="E10" s="259" t="s">
        <v>472</v>
      </c>
      <c r="F10" s="239" t="s">
        <v>474</v>
      </c>
      <c r="G10" s="239"/>
    </row>
    <row r="11" spans="1:7" ht="21.75" customHeight="1">
      <c r="A11" s="245" t="s">
        <v>268</v>
      </c>
      <c r="B11" s="261">
        <v>20000</v>
      </c>
      <c r="C11" s="243">
        <v>20000</v>
      </c>
      <c r="D11" s="240">
        <f>Tabela1[[#This Row],[VALOR]]*2.5%</f>
        <v>500</v>
      </c>
      <c r="E11" s="259" t="s">
        <v>472</v>
      </c>
      <c r="F11" s="239" t="s">
        <v>474</v>
      </c>
      <c r="G11" s="239"/>
    </row>
    <row r="12" spans="1:7" ht="22.5" customHeight="1">
      <c r="A12" s="248" t="s">
        <v>279</v>
      </c>
      <c r="B12" s="261">
        <v>20000</v>
      </c>
      <c r="C12" s="243">
        <v>20000</v>
      </c>
      <c r="D12" s="240">
        <f>Tabela1[[#This Row],[VALOR]]*2.5%</f>
        <v>500</v>
      </c>
      <c r="E12" s="259" t="s">
        <v>472</v>
      </c>
      <c r="F12" s="239" t="s">
        <v>474</v>
      </c>
      <c r="G12" s="239"/>
    </row>
    <row r="13" spans="1:7">
      <c r="A13" s="242" t="s">
        <v>290</v>
      </c>
      <c r="B13" s="261">
        <v>20000</v>
      </c>
      <c r="C13" s="243">
        <v>20000</v>
      </c>
      <c r="D13" s="240">
        <f>Tabela1[[#This Row],[VALOR]]*2.5%</f>
        <v>500</v>
      </c>
      <c r="E13" s="259" t="s">
        <v>472</v>
      </c>
      <c r="F13" s="239" t="s">
        <v>474</v>
      </c>
      <c r="G13" s="239"/>
    </row>
    <row r="14" spans="1:7">
      <c r="A14" s="246" t="s">
        <v>300</v>
      </c>
      <c r="B14" s="261">
        <v>20000</v>
      </c>
      <c r="C14" s="243">
        <v>22012</v>
      </c>
      <c r="D14" s="240">
        <f>Tabela1[[#This Row],[VALOR]]*2.8%</f>
        <v>559.99999999999989</v>
      </c>
      <c r="E14" s="259" t="s">
        <v>472</v>
      </c>
      <c r="F14" s="239" t="s">
        <v>474</v>
      </c>
      <c r="G14" s="239"/>
    </row>
    <row r="15" spans="1:7">
      <c r="A15" s="242" t="s">
        <v>311</v>
      </c>
      <c r="B15" s="261">
        <v>20000</v>
      </c>
      <c r="C15" s="243">
        <v>22012</v>
      </c>
      <c r="D15" s="240">
        <f>Tabela1[[#This Row],[VALOR]]*2.8%</f>
        <v>559.99999999999989</v>
      </c>
      <c r="E15" s="259" t="s">
        <v>472</v>
      </c>
      <c r="F15" s="239" t="s">
        <v>475</v>
      </c>
      <c r="G15" s="239"/>
    </row>
    <row r="16" spans="1:7">
      <c r="A16" s="242" t="s">
        <v>321</v>
      </c>
      <c r="B16" s="261">
        <v>20000</v>
      </c>
      <c r="C16" s="244">
        <v>20000</v>
      </c>
      <c r="D16" s="240">
        <f>Tabela1[[#This Row],[VALOR]]*2.8%</f>
        <v>559.99999999999989</v>
      </c>
      <c r="E16" s="259" t="s">
        <v>472</v>
      </c>
      <c r="F16" s="239" t="s">
        <v>475</v>
      </c>
      <c r="G16" s="239"/>
    </row>
    <row r="17" spans="1:7">
      <c r="A17" s="242" t="s">
        <v>333</v>
      </c>
      <c r="B17" s="261">
        <v>20000</v>
      </c>
      <c r="C17" s="244">
        <v>20000</v>
      </c>
      <c r="D17" s="240">
        <f>Tabela1[[#This Row],[VALOR]]*2.8%</f>
        <v>559.99999999999989</v>
      </c>
      <c r="E17" s="259" t="s">
        <v>472</v>
      </c>
      <c r="F17" s="239" t="s">
        <v>475</v>
      </c>
      <c r="G17" s="239"/>
    </row>
    <row r="18" spans="1:7">
      <c r="A18" s="242" t="s">
        <v>342</v>
      </c>
      <c r="B18" s="261">
        <v>20000</v>
      </c>
      <c r="C18" s="244">
        <v>21908</v>
      </c>
      <c r="D18" s="240">
        <f>Tabela1[[#This Row],[VALOR]]*3.2%</f>
        <v>640</v>
      </c>
      <c r="E18" s="259" t="s">
        <v>472</v>
      </c>
      <c r="F18" s="239" t="s">
        <v>475</v>
      </c>
      <c r="G18" s="239"/>
    </row>
    <row r="19" spans="1:7">
      <c r="A19" s="242" t="s">
        <v>351</v>
      </c>
      <c r="B19" s="261">
        <v>20000</v>
      </c>
      <c r="C19" s="244">
        <v>21862</v>
      </c>
      <c r="D19" s="240">
        <f>Tabela1[[#This Row],[VALOR]]*3.2%</f>
        <v>640</v>
      </c>
      <c r="E19" s="259" t="s">
        <v>472</v>
      </c>
      <c r="F19" s="239" t="s">
        <v>475</v>
      </c>
      <c r="G19" s="239"/>
    </row>
    <row r="20" spans="1:7">
      <c r="A20" s="249" t="s">
        <v>106</v>
      </c>
      <c r="B20" s="261">
        <v>0</v>
      </c>
      <c r="C20" s="250">
        <v>0</v>
      </c>
      <c r="D20" s="240">
        <f>Tabela1[[#This Row],[VALOR]]*3.2%</f>
        <v>0</v>
      </c>
      <c r="E20" s="259" t="s">
        <v>361</v>
      </c>
      <c r="F20" s="239"/>
      <c r="G20" s="239"/>
    </row>
    <row r="21" spans="1:7">
      <c r="A21" s="251" t="s">
        <v>64</v>
      </c>
      <c r="B21" s="261">
        <v>0</v>
      </c>
      <c r="C21" s="252">
        <v>0</v>
      </c>
      <c r="D21" s="240">
        <f>Tabela1[[#This Row],[VALOR]]*3.2%</f>
        <v>0</v>
      </c>
      <c r="E21" s="259" t="s">
        <v>361</v>
      </c>
      <c r="F21" s="239"/>
      <c r="G21" s="239"/>
    </row>
    <row r="22" spans="1:7">
      <c r="A22" s="253" t="s">
        <v>456</v>
      </c>
      <c r="B22" s="261">
        <v>0</v>
      </c>
      <c r="C22" s="243">
        <v>0</v>
      </c>
      <c r="D22" s="240">
        <f>Tabela1[[#This Row],[VALOR]]*3.2%</f>
        <v>0</v>
      </c>
      <c r="E22" s="259" t="s">
        <v>361</v>
      </c>
      <c r="F22" s="239"/>
      <c r="G22" s="239"/>
    </row>
    <row r="23" spans="1:7">
      <c r="A23" s="251" t="s">
        <v>374</v>
      </c>
      <c r="B23" s="261">
        <v>0</v>
      </c>
      <c r="C23" s="243">
        <v>0</v>
      </c>
      <c r="D23" s="240">
        <f>Tabela1[[#This Row],[VALOR]]*3.2%</f>
        <v>0</v>
      </c>
      <c r="E23" s="259" t="s">
        <v>361</v>
      </c>
      <c r="F23" s="239"/>
      <c r="G23" s="239"/>
    </row>
    <row r="24" spans="1:7">
      <c r="A24" s="254" t="s">
        <v>457</v>
      </c>
      <c r="B24" s="261">
        <v>7000</v>
      </c>
      <c r="C24" s="255">
        <v>7395</v>
      </c>
      <c r="D24" s="240">
        <f>Tabela1[[#This Row],[VALOR]]*3.2%</f>
        <v>224</v>
      </c>
      <c r="E24" s="259" t="s">
        <v>476</v>
      </c>
      <c r="F24" s="239" t="s">
        <v>475</v>
      </c>
      <c r="G24" s="239"/>
    </row>
    <row r="25" spans="1:7">
      <c r="A25" s="253" t="s">
        <v>386</v>
      </c>
      <c r="B25" s="261">
        <v>4000</v>
      </c>
      <c r="C25" s="244">
        <v>4345</v>
      </c>
      <c r="D25" s="240">
        <f>Tabela1[[#This Row],[VALOR]]*3.2%</f>
        <v>128</v>
      </c>
      <c r="E25" s="259" t="s">
        <v>363</v>
      </c>
      <c r="F25" s="239" t="s">
        <v>475</v>
      </c>
      <c r="G25" s="239"/>
    </row>
    <row r="26" spans="1:7">
      <c r="A26" s="253" t="s">
        <v>400</v>
      </c>
      <c r="B26" s="261">
        <v>7000</v>
      </c>
      <c r="C26" s="244">
        <v>7636</v>
      </c>
      <c r="D26" s="240">
        <f>Tabela1[[#This Row],[VALOR]]*3.2%</f>
        <v>224</v>
      </c>
      <c r="E26" s="259" t="s">
        <v>363</v>
      </c>
      <c r="F26" s="239" t="s">
        <v>475</v>
      </c>
      <c r="G26" s="239"/>
    </row>
    <row r="27" spans="1:7">
      <c r="A27" s="253" t="s">
        <v>96</v>
      </c>
      <c r="B27" s="261">
        <v>7000</v>
      </c>
      <c r="C27" s="244">
        <v>7746</v>
      </c>
      <c r="D27" s="240">
        <f>Tabela1[[#This Row],[VALOR]]*3.2%</f>
        <v>224</v>
      </c>
      <c r="E27" s="259" t="s">
        <v>363</v>
      </c>
      <c r="F27" s="239" t="s">
        <v>475</v>
      </c>
      <c r="G27" s="239"/>
    </row>
    <row r="28" spans="1:7">
      <c r="A28" s="242" t="s">
        <v>409</v>
      </c>
      <c r="B28" s="261">
        <v>20000</v>
      </c>
      <c r="C28" s="244">
        <v>20000</v>
      </c>
      <c r="D28" s="240">
        <f>Tabela1[[#This Row],[VALOR]]*3.2%</f>
        <v>640</v>
      </c>
      <c r="E28" s="259" t="s">
        <v>363</v>
      </c>
      <c r="F28" s="239" t="s">
        <v>475</v>
      </c>
      <c r="G28" s="239"/>
    </row>
    <row r="29" spans="1:7">
      <c r="A29" s="239"/>
      <c r="B29" s="262">
        <f>SUM(B2:B28)</f>
        <v>405000</v>
      </c>
      <c r="C29" s="262">
        <f>SUM(C2:C28)</f>
        <v>425223.57</v>
      </c>
      <c r="D29" s="240">
        <f>SUBTOTAL(109,D2:D28)</f>
        <v>10960</v>
      </c>
      <c r="E29" s="259" t="s">
        <v>472</v>
      </c>
      <c r="F29" s="239"/>
      <c r="G29" s="239"/>
    </row>
    <row r="30" spans="1:7">
      <c r="A30" s="256" t="s">
        <v>477</v>
      </c>
      <c r="B30" s="263"/>
      <c r="C30" s="257"/>
      <c r="D30" s="240">
        <f>Tabela1[[#This Row],[VALOR]]*2.5</f>
        <v>0</v>
      </c>
      <c r="E30" s="259"/>
      <c r="F30" s="239"/>
      <c r="G30" s="239"/>
    </row>
    <row r="31" spans="1:7" ht="21">
      <c r="C31" s="236"/>
    </row>
    <row r="32" spans="1:7" ht="21">
      <c r="C32" s="236"/>
    </row>
    <row r="33" spans="3:3" ht="21">
      <c r="C33" s="236"/>
    </row>
    <row r="34" spans="3:3" ht="21">
      <c r="C34" s="237"/>
    </row>
    <row r="35" spans="3:3" ht="21">
      <c r="C35" s="238"/>
    </row>
    <row r="36" spans="3:3" ht="21">
      <c r="C36" s="23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3C48-16C4-48E8-A7C2-6FEAB7BB0483}">
  <dimension ref="A1"/>
  <sheetViews>
    <sheetView workbookViewId="0">
      <selection activeCell="I12" sqref="I12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Souza Magalhães</dc:creator>
  <cp:keywords/>
  <dc:description/>
  <cp:lastModifiedBy>Usuário Convidado</cp:lastModifiedBy>
  <cp:revision/>
  <dcterms:created xsi:type="dcterms:W3CDTF">2024-09-30T13:13:50Z</dcterms:created>
  <dcterms:modified xsi:type="dcterms:W3CDTF">2025-12-19T12:02:00Z</dcterms:modified>
  <cp:category/>
  <cp:contentStatus/>
</cp:coreProperties>
</file>