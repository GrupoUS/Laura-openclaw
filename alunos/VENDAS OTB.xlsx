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https://d.docs.live.net/e12f0218703c950c/GRUPOUS/"/>
    </mc:Choice>
  </mc:AlternateContent>
  <xr:revisionPtr revIDLastSave="2488" documentId="8_{68E1D76D-125A-44B4-9DB6-038BCFAFAC7D}" xr6:coauthVersionLast="47" xr6:coauthVersionMax="47" xr10:uidLastSave="{E1199482-87A2-4FAB-AD6A-4EB0E6007ECA}"/>
  <bookViews>
    <workbookView minimized="1" xWindow="32310" yWindow="2955" windowWidth="21600" windowHeight="11295" firstSheet="3" activeTab="3" xr2:uid="{34F478CD-544D-4A9A-8441-ABF61FEA5601}"/>
  </bookViews>
  <sheets>
    <sheet name="RESUMO" sheetId="4" r:id="rId1"/>
    <sheet name="OTB TURMA 1" sheetId="1" r:id="rId2"/>
    <sheet name="OTB TURMA 2" sheetId="2" r:id="rId3"/>
    <sheet name="OTB TURMA 3" sheetId="3" r:id="rId4"/>
  </sheets>
  <definedNames>
    <definedName name="_xlnm._FilterDatabase" localSheetId="1" hidden="1">'OTB TURMA 1'!$A$1:$P$61</definedName>
    <definedName name="_xlnm._FilterDatabase" localSheetId="3" hidden="1">'OTB TURMA 3'!$A$1:$W$49</definedName>
    <definedName name="_xlnm._FilterDatabase" localSheetId="2" hidden="1">'OTB TURMA 2'!$A$1:$U$43</definedName>
  </definedNames>
  <calcPr calcId="191028"/>
  <pivotCaches>
    <pivotCache cacheId="191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3" l="1"/>
  <c r="F28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4" i="1"/>
  <c r="F25" i="1"/>
  <c r="F26" i="1"/>
  <c r="F27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4" i="1"/>
  <c r="F53" i="1"/>
  <c r="F57" i="1"/>
  <c r="F55" i="1"/>
  <c r="F56" i="1"/>
  <c r="F59" i="1"/>
  <c r="F58" i="1"/>
  <c r="F60" i="1"/>
  <c r="F2" i="1"/>
  <c r="F61" i="1" l="1"/>
</calcChain>
</file>

<file path=xl/sharedStrings.xml><?xml version="1.0" encoding="utf-8"?>
<sst xmlns="http://schemas.openxmlformats.org/spreadsheetml/2006/main" count="1166" uniqueCount="560">
  <si>
    <t>CONSULTOR</t>
  </si>
  <si>
    <t>Situação Jurídico</t>
  </si>
  <si>
    <t>QUANT DE MATRICULA</t>
  </si>
  <si>
    <t>Lucas</t>
  </si>
  <si>
    <t xml:space="preserve">Assinado </t>
  </si>
  <si>
    <t>Lucas Total</t>
  </si>
  <si>
    <t>Matheus</t>
  </si>
  <si>
    <t>cancelamento no prazo de 7</t>
  </si>
  <si>
    <t>Distrato assinado</t>
  </si>
  <si>
    <t>não irá seguir</t>
  </si>
  <si>
    <t>(vazio)</t>
  </si>
  <si>
    <t>Matheus Total</t>
  </si>
  <si>
    <t>Rubia</t>
  </si>
  <si>
    <t>Rubia Total</t>
  </si>
  <si>
    <t>Total Geral</t>
  </si>
  <si>
    <t>QTD</t>
  </si>
  <si>
    <t>NOME DA ALUNA</t>
  </si>
  <si>
    <t>APLICAÇÃO</t>
  </si>
  <si>
    <t>PARCELAS</t>
  </si>
  <si>
    <t>VALOR</t>
  </si>
  <si>
    <t>TOTAL</t>
  </si>
  <si>
    <t>PAGAMENTO</t>
  </si>
  <si>
    <t>Data da venda</t>
  </si>
  <si>
    <t>TELEFONE</t>
  </si>
  <si>
    <t>LOTE</t>
  </si>
  <si>
    <t>ORIGEM DO LEAD</t>
  </si>
  <si>
    <t>Contrato</t>
  </si>
  <si>
    <t>Aditivo</t>
  </si>
  <si>
    <t>Adriani AP Teixeira Inoue</t>
  </si>
  <si>
    <t>Boleto 4x</t>
  </si>
  <si>
    <t>1(857)3350537</t>
  </si>
  <si>
    <t>Aline - Instituto nos EUA</t>
  </si>
  <si>
    <t>assinado</t>
  </si>
  <si>
    <t>Ok</t>
  </si>
  <si>
    <t>Alessandra Meirelles</t>
  </si>
  <si>
    <t>Boleto</t>
  </si>
  <si>
    <t>62 98159-4449</t>
  </si>
  <si>
    <t>Gleide</t>
  </si>
  <si>
    <t>dispensada</t>
  </si>
  <si>
    <t>Aline Vasconcelos</t>
  </si>
  <si>
    <t>pix</t>
  </si>
  <si>
    <t>11 95029‑9329‬</t>
  </si>
  <si>
    <t>Dieick</t>
  </si>
  <si>
    <t>Ana carolina Borges</t>
  </si>
  <si>
    <t>R$10.000,00 pix 13/07</t>
  </si>
  <si>
    <t>1 (781) 666-9716</t>
  </si>
  <si>
    <t>Tráfego</t>
  </si>
  <si>
    <t>Ana Carolina Ferreira de Oliveira</t>
  </si>
  <si>
    <t>3x de R$3.675,00</t>
  </si>
  <si>
    <t>62 992014361</t>
  </si>
  <si>
    <t>Gérsica</t>
  </si>
  <si>
    <t>Ana Cláudia Goncalves de Souza</t>
  </si>
  <si>
    <t>Pix +link</t>
  </si>
  <si>
    <t>64 99988-0305</t>
  </si>
  <si>
    <t>Talita</t>
  </si>
  <si>
    <t>Ana Flávia Silveira Moraes Pirula</t>
  </si>
  <si>
    <t>Boleto 12x</t>
  </si>
  <si>
    <t>15 99624-0741</t>
  </si>
  <si>
    <t>Ana Paula Fontoura Lima Sabino</t>
  </si>
  <si>
    <t>Boleto 5x</t>
  </si>
  <si>
    <t>1 (203) 892-4707</t>
  </si>
  <si>
    <t>Andreia Soares Pimenta Borges</t>
  </si>
  <si>
    <t>não assinado</t>
  </si>
  <si>
    <t>Cancelado</t>
  </si>
  <si>
    <t>Anelise Terezinha Presotto</t>
  </si>
  <si>
    <t>5 de R$3.277,85</t>
  </si>
  <si>
    <t>aluna Paula Thaís</t>
  </si>
  <si>
    <t>Aryelle Cordeiro</t>
  </si>
  <si>
    <t>1 (203) 947-9471</t>
  </si>
  <si>
    <t>Franceline aesthetics</t>
  </si>
  <si>
    <t>Beatriz coutinho de Souza</t>
  </si>
  <si>
    <t>34 99767-8700</t>
  </si>
  <si>
    <t>Bianca Jone de Souza</t>
  </si>
  <si>
    <t>1 (657) 509-4070</t>
  </si>
  <si>
    <t>Indicação aluna Renata</t>
  </si>
  <si>
    <t>Camila Martins Gularte</t>
  </si>
  <si>
    <t>Pix</t>
  </si>
  <si>
    <t>21 98109-0007</t>
  </si>
  <si>
    <t>Caroline Egger</t>
  </si>
  <si>
    <t>‪55 99141‑6941‬</t>
  </si>
  <si>
    <t>Sacha - Neon</t>
  </si>
  <si>
    <t>Emanuella Texeira Araújo</t>
  </si>
  <si>
    <t>Aluna Aline</t>
  </si>
  <si>
    <t>Êmilly Calixto Santana</t>
  </si>
  <si>
    <t>69 99207‑4652‬</t>
  </si>
  <si>
    <t>Fádia Rosa Nascimento</t>
  </si>
  <si>
    <t>Link</t>
  </si>
  <si>
    <t>62 98117-6868</t>
  </si>
  <si>
    <t>Fernanda Goncalves Lima</t>
  </si>
  <si>
    <t>62 992256330</t>
  </si>
  <si>
    <t>Instagram Sacha</t>
  </si>
  <si>
    <t>Flavia Rodrigues Gomes Oliveira</t>
  </si>
  <si>
    <t>3 parcelas de R$5.000,00 PIX</t>
  </si>
  <si>
    <t>1 (561) 870-7290</t>
  </si>
  <si>
    <t>05/08 pag - 27/08 pago - 05/09 a ultima paga</t>
  </si>
  <si>
    <t>Francieny Corrêa de Andrade</t>
  </si>
  <si>
    <t>34 99332-0612</t>
  </si>
  <si>
    <t>Gabriela Felix Ribeiro</t>
  </si>
  <si>
    <t>3.475,00</t>
  </si>
  <si>
    <t>34 9233-7371</t>
  </si>
  <si>
    <t>Francieny</t>
  </si>
  <si>
    <t>Gabriela Santiago</t>
  </si>
  <si>
    <t>62 98489-2747</t>
  </si>
  <si>
    <t>Geisa Modesto</t>
  </si>
  <si>
    <t>61 99986-4461</t>
  </si>
  <si>
    <t>Gelliane Souza</t>
  </si>
  <si>
    <t>75 9977-0017</t>
  </si>
  <si>
    <t>Gérsica Sampaio Silva</t>
  </si>
  <si>
    <t>62 98322-9702</t>
  </si>
  <si>
    <t>Helena Nogatz</t>
  </si>
  <si>
    <t>2283,87</t>
  </si>
  <si>
    <t>47 9103-7598</t>
  </si>
  <si>
    <t>Indicacão Jeany</t>
  </si>
  <si>
    <t>Isa Araújo Leal</t>
  </si>
  <si>
    <t>61 8112-6383</t>
  </si>
  <si>
    <t>Raquel</t>
  </si>
  <si>
    <t>Jeanny John</t>
  </si>
  <si>
    <t>77 99923-7729</t>
  </si>
  <si>
    <t>Assinado</t>
  </si>
  <si>
    <t>Jessica sarynne de Paula Almeida Morais</t>
  </si>
  <si>
    <t>62 9612-3156</t>
  </si>
  <si>
    <t>Joymara Grillo</t>
  </si>
  <si>
    <t>17 99722-1207</t>
  </si>
  <si>
    <t>Indicacão aluna Jeany</t>
  </si>
  <si>
    <t>Pendente contrato</t>
  </si>
  <si>
    <t>Juliana Macedo medeiros</t>
  </si>
  <si>
    <t>4x de R$3.500,00</t>
  </si>
  <si>
    <t>86 9978-8725</t>
  </si>
  <si>
    <t>Sacha</t>
  </si>
  <si>
    <t>Karen Squeff</t>
  </si>
  <si>
    <t>62 98330 4645</t>
  </si>
  <si>
    <t>Karina N. P. Vuolo</t>
  </si>
  <si>
    <t>14 99805-7700</t>
  </si>
  <si>
    <t>Karolina Coelho Reginaldo</t>
  </si>
  <si>
    <t>48 99102-3535</t>
  </si>
  <si>
    <t>Sacha - instagram</t>
  </si>
  <si>
    <t>Kathyanne Marques de Araujo</t>
  </si>
  <si>
    <t>‪61 98555‑2073‬</t>
  </si>
  <si>
    <t>Kimberlym de Oliveira</t>
  </si>
  <si>
    <t>51 99565- 4669</t>
  </si>
  <si>
    <t>Leidiane dos Santos Cardoso</t>
  </si>
  <si>
    <t>61 98409-5309</t>
  </si>
  <si>
    <t>Letícia Pedreira Sena</t>
  </si>
  <si>
    <t>pix de 4250 em julho e 4250 agosto</t>
  </si>
  <si>
    <t>75 98159-9650</t>
  </si>
  <si>
    <t>Lilian Silva de Jesus</t>
  </si>
  <si>
    <t>62 8208-3905</t>
  </si>
  <si>
    <t>TRINTAE3</t>
  </si>
  <si>
    <t>Linda Kelry</t>
  </si>
  <si>
    <t>61 98338-5771</t>
  </si>
  <si>
    <t>Lohrane Narrara</t>
  </si>
  <si>
    <t>62 99913-2363</t>
  </si>
  <si>
    <t>Maiara Trevizani</t>
  </si>
  <si>
    <t>51 997427738</t>
  </si>
  <si>
    <t>Maria Eduarda Dorea</t>
  </si>
  <si>
    <t>Link Sacha</t>
  </si>
  <si>
    <t>71 99700-8183</t>
  </si>
  <si>
    <t>Michele Camargo</t>
  </si>
  <si>
    <t>11 98496-0021</t>
  </si>
  <si>
    <t>Monique Nathália Batista Madeira</t>
  </si>
  <si>
    <t>Não assinado</t>
  </si>
  <si>
    <t>Orlete Donato de Oliveira</t>
  </si>
  <si>
    <t>51 98186-3564</t>
  </si>
  <si>
    <t>Paola Barradas Marangoni</t>
  </si>
  <si>
    <t>1 boleto de R$7.875,00</t>
  </si>
  <si>
    <t>21 986362823</t>
  </si>
  <si>
    <t>Ela teve problemas e parou de responder. 
Coloquei 5% e joguei para a Betânia seguir com a cobrança. 
Está na planilha de boletos, e cliente avisada.</t>
  </si>
  <si>
    <t>Paula Taís Wasserberg</t>
  </si>
  <si>
    <t>Link total</t>
  </si>
  <si>
    <t>51 9341-0093</t>
  </si>
  <si>
    <t>aluna Kimberly</t>
  </si>
  <si>
    <t>Renata Borba</t>
  </si>
  <si>
    <t>47 9291-8718</t>
  </si>
  <si>
    <t>Indicação jeany</t>
  </si>
  <si>
    <t>RENATA DESLANDES LEÃO ADDÁRIO DE SIMAS</t>
  </si>
  <si>
    <t>3.000,00</t>
  </si>
  <si>
    <t>3.277,85</t>
  </si>
  <si>
    <t>19.389,25</t>
  </si>
  <si>
    <t>33 9957-7775</t>
  </si>
  <si>
    <t>MKT</t>
  </si>
  <si>
    <t>Rogeria Vieira de Oliveira</t>
  </si>
  <si>
    <t>1 (508) 808-9693</t>
  </si>
  <si>
    <t>tráfego</t>
  </si>
  <si>
    <t>Rita De Cassia Coimbra</t>
  </si>
  <si>
    <t>1(508)656-7198</t>
  </si>
  <si>
    <t>pago</t>
  </si>
  <si>
    <t>Samara Rayssa da Silva</t>
  </si>
  <si>
    <t>62 99108-8005</t>
  </si>
  <si>
    <t>Sara Rellin</t>
  </si>
  <si>
    <t>62 99190-8561</t>
  </si>
  <si>
    <t>Aluna Gérsica</t>
  </si>
  <si>
    <t>Rosângela Barros Barbosa</t>
  </si>
  <si>
    <t>71 98118-8052</t>
  </si>
  <si>
    <t>Indicacão aluna Gelliane</t>
  </si>
  <si>
    <t>Sheila Mietz</t>
  </si>
  <si>
    <t>PIx</t>
  </si>
  <si>
    <t>42 999630722</t>
  </si>
  <si>
    <t>Sarah Borges Silva</t>
  </si>
  <si>
    <t>64 98151-1061</t>
  </si>
  <si>
    <t>Tamara Dilma da Silva</t>
  </si>
  <si>
    <t>48 99901-6850</t>
  </si>
  <si>
    <t>CPF</t>
  </si>
  <si>
    <t>ENDEREÇO</t>
  </si>
  <si>
    <t>E-MAIL</t>
  </si>
  <si>
    <t>Forma</t>
  </si>
  <si>
    <t>Primeiro Vencimento</t>
  </si>
  <si>
    <t>STATUS BOLETO</t>
  </si>
  <si>
    <t>OBSERVAÇÃO</t>
  </si>
  <si>
    <t>Danila dos Santos Lima Somma</t>
  </si>
  <si>
    <t>390.752.998-77</t>
  </si>
  <si>
    <t>11 97147-2829</t>
  </si>
  <si>
    <t>Rua Geraldo Alves Celestino</t>
  </si>
  <si>
    <t>slimesteticabr@gmail.com</t>
  </si>
  <si>
    <t>R$20.628</t>
  </si>
  <si>
    <t xml:space="preserve">Boleto </t>
  </si>
  <si>
    <t>TRÁFEGO</t>
  </si>
  <si>
    <t>Enviado e recebido</t>
  </si>
  <si>
    <t>Enviado</t>
  </si>
  <si>
    <t>Aluna que não conseguiu o visto. Irá aproveitar o valor pago na matrícula  em algum curso do IESE (segundo o Matheus, a Ana Carolina autorizou).</t>
  </si>
  <si>
    <t xml:space="preserve">Priscylla César de Barros Abrantes </t>
  </si>
  <si>
    <t>050.152.914-42</t>
  </si>
  <si>
    <t>83 9857-0340</t>
  </si>
  <si>
    <t xml:space="preserve">          Av. Max Zagel, 690</t>
  </si>
  <si>
    <t>priscyllacesarba@gmail.com</t>
  </si>
  <si>
    <t>R$21.348</t>
  </si>
  <si>
    <t>30/12/2024</t>
  </si>
  <si>
    <t xml:space="preserve"> Indicação Sacha</t>
  </si>
  <si>
    <t>Thaís Olímpia Gonçalves Agostinho</t>
  </si>
  <si>
    <t>351.122.158-79</t>
  </si>
  <si>
    <t>15 99125-1977</t>
  </si>
  <si>
    <t xml:space="preserve">Avenida Professor Arthur Fonseca, 203 </t>
  </si>
  <si>
    <t>thaisolimpia@outlook.com</t>
  </si>
  <si>
    <t>20/12/2024</t>
  </si>
  <si>
    <t>Não conseguiu visto. Vai migrar para o NEON- distrato assinado</t>
  </si>
  <si>
    <t>Andressa Elisa Quadros Abdalla</t>
  </si>
  <si>
    <t>047.441.069-27</t>
  </si>
  <si>
    <t>41 9199-7771</t>
  </si>
  <si>
    <t xml:space="preserve">       Rua Emilio Cornelsen, 500</t>
  </si>
  <si>
    <t>andressaquadros@gmail.com</t>
  </si>
  <si>
    <t>R$20.526</t>
  </si>
  <si>
    <t>Indicação Jéssica Padilha</t>
  </si>
  <si>
    <t>Jéssica Padilha</t>
  </si>
  <si>
    <t>010.591.559-90</t>
  </si>
  <si>
    <t>Rua brigadeiro Franco 1466</t>
  </si>
  <si>
    <t>jessicadalgallop@gmail.com</t>
  </si>
  <si>
    <t>R$20.348</t>
  </si>
  <si>
    <t>15/12/2024</t>
  </si>
  <si>
    <t>22/11</t>
  </si>
  <si>
    <t>Fernanda Berlato Nunes</t>
  </si>
  <si>
    <t>854.383.910-68</t>
  </si>
  <si>
    <t>55 9245-2323</t>
  </si>
  <si>
    <t>Rua lagoa vermelha 395</t>
  </si>
  <si>
    <t>fernandaberlato04@gmail.com</t>
  </si>
  <si>
    <t>R$24.420</t>
  </si>
  <si>
    <t>25/11</t>
  </si>
  <si>
    <t xml:space="preserve"> Janaína Auxiliadora de Castro Silva Gomes </t>
  </si>
  <si>
    <t>051.626.646-26</t>
  </si>
  <si>
    <t>43 9602-1194</t>
  </si>
  <si>
    <t xml:space="preserve"> Rua Maria Lúcia da paz 455 apto 2203 </t>
  </si>
  <si>
    <t>relatoriodiariominas@gmail.com</t>
  </si>
  <si>
    <t>R$24.519</t>
  </si>
  <si>
    <t>28/11</t>
  </si>
  <si>
    <t>Flávia Menezes (Neon)</t>
  </si>
  <si>
    <t xml:space="preserve">Kátia Vieira da Silva </t>
  </si>
  <si>
    <t>096.675.294-52</t>
  </si>
  <si>
    <t>Av. Portugal, 897 - Universitário, Edifício EKO HOME CLUB, APTO. 503 - Torre Jacarandá. Caruaru - PE, CEP: 55016-400.</t>
  </si>
  <si>
    <t>katiavieirads@hotmail.com</t>
  </si>
  <si>
    <t>R$20.000</t>
  </si>
  <si>
    <t>PIX</t>
  </si>
  <si>
    <t>QUITADO</t>
  </si>
  <si>
    <t>Indicação Sacha</t>
  </si>
  <si>
    <t xml:space="preserve">Catiele Lopes Marchioro </t>
  </si>
  <si>
    <t>046.744.601-66</t>
  </si>
  <si>
    <t>Edifício Santorini, 1564. Apartamento 404, Centro, Sorriso ,78.890-126</t>
  </si>
  <si>
    <t>catiele.lb@gmail.com</t>
  </si>
  <si>
    <t>R$25.680</t>
  </si>
  <si>
    <t>INFORMOU QUE NÃO CONSEGUIU O VISTO EM 01/10 - ENVIOU UM DOCUMENTO MUITO DUVIDOSO- Distrato assinado</t>
  </si>
  <si>
    <t>Flávia Vignoli Alves</t>
  </si>
  <si>
    <t>073.437.867-09</t>
  </si>
  <si>
    <t xml:space="preserve"> Av Oceanica 1402 Itauna Saquarema RJ Cep 28990-838</t>
  </si>
  <si>
    <t>flaviaalvesfisio@gmail.com</t>
  </si>
  <si>
    <t>R$24.488,51</t>
  </si>
  <si>
    <t>Ana Tiara de Souza Queiroz</t>
  </si>
  <si>
    <t>021.266.691-65</t>
  </si>
  <si>
    <t>67 9273-7023</t>
  </si>
  <si>
    <t>Rua Jurandir Santana Nogueira, 72  Pq. Residencial Girassóis  Campo Grande/ MS 79091-816</t>
  </si>
  <si>
    <t>thyara.souza@hotmail.com</t>
  </si>
  <si>
    <t>15/2/2025</t>
  </si>
  <si>
    <t>Ana Cassia</t>
  </si>
  <si>
    <t>Não conseguiu o visto. Ficará para a turma de 2026</t>
  </si>
  <si>
    <t>Angela Maria Almeida Vilimaitis</t>
  </si>
  <si>
    <t>019.640. 841-56</t>
  </si>
  <si>
    <t xml:space="preserve"> +1 (978) 793-2645</t>
  </si>
  <si>
    <t>773 Massachusetts ave C9 BAIRRO: X Boxborough MA CEP 01719</t>
  </si>
  <si>
    <t>angelameyda@gmail.com</t>
  </si>
  <si>
    <t xml:space="preserve">Indicação Lorrana Ribeiro </t>
  </si>
  <si>
    <t>Lorrana Ribeiro Aguiar</t>
  </si>
  <si>
    <t>038.382.061-85</t>
  </si>
  <si>
    <t>+1 (978) 990-0933</t>
  </si>
  <si>
    <t xml:space="preserve"> 2 south cove Rd Hubbardston 01453 Massachusetts Estados unidos</t>
  </si>
  <si>
    <t>Lorranaribeiroaguiar@gmail.com</t>
  </si>
  <si>
    <t xml:space="preserve">Patrícia Michely de Sousa </t>
  </si>
  <si>
    <t>033.183.751-01</t>
  </si>
  <si>
    <t>64 98114-1028</t>
  </si>
  <si>
    <t>Rua 10, QD 22, LT 8 Calandia Cezarina - GO  76.195-000</t>
  </si>
  <si>
    <t>patriciamsousa_21@hotmail.com</t>
  </si>
  <si>
    <t xml:space="preserve">Ingrid Claudino Ribeiro </t>
  </si>
  <si>
    <t>070.232.044-74</t>
  </si>
  <si>
    <t>1 (908) 338-5055</t>
  </si>
  <si>
    <t xml:space="preserve"> 300 6th st 2r  jersey city 07302</t>
  </si>
  <si>
    <t>ingridusa8@gmail.com</t>
  </si>
  <si>
    <t>02/20/2025</t>
  </si>
  <si>
    <t xml:space="preserve">Indira Rezende Ferreira e Souza </t>
  </si>
  <si>
    <t>113.832.526-02</t>
  </si>
  <si>
    <t>33 984291093</t>
  </si>
  <si>
    <t>Rua cel Antônio Salim , 38 Dário grossi  Caratinga MG 35.300-010</t>
  </si>
  <si>
    <t>irfsouza@hotmail.com</t>
  </si>
  <si>
    <t xml:space="preserve">Enviado </t>
  </si>
  <si>
    <t xml:space="preserve">Thayane Priscilla Fernandes </t>
  </si>
  <si>
    <t>010.233.631-86</t>
  </si>
  <si>
    <t>+1 (732) 621-6290</t>
  </si>
  <si>
    <t xml:space="preserve"> Rua 10 chácara 157 casa 05 condomínio Jardim Vitória, Brasília/DF</t>
  </si>
  <si>
    <t>inoveseller@outlook.com</t>
  </si>
  <si>
    <t>ELIZIANE CASSIANO OLIVEIRA</t>
  </si>
  <si>
    <t>081.584.709-20</t>
  </si>
  <si>
    <t xml:space="preserve"> Rua Alberto Torres 271 Fazendinha Curitiba  81330-330</t>
  </si>
  <si>
    <t>draelizianeoliveira@gmail.com</t>
  </si>
  <si>
    <t>Letícia Maria Meneses</t>
  </si>
  <si>
    <t>026.619.081-29</t>
  </si>
  <si>
    <t>Rua 246 qd 7 Lt 23 Recanto Verde  Ceres 76300-000</t>
  </si>
  <si>
    <t>titiciameneses@gmail.com</t>
  </si>
  <si>
    <t xml:space="preserve">Não conseguiu visto </t>
  </si>
  <si>
    <t>Andréia Cristina Berti</t>
  </si>
  <si>
    <t>178.434.428-12</t>
  </si>
  <si>
    <t>Rua Antônio Joaquim dos Santos, 106  Centro Alto Ribeirão Pires  09420-440</t>
  </si>
  <si>
    <t>andreia-berti@uol.com.br</t>
  </si>
  <si>
    <t>Indicação Daniela Moleiro</t>
  </si>
  <si>
    <t xml:space="preserve">Walquiria Reis </t>
  </si>
  <si>
    <t>282.454.888-60</t>
  </si>
  <si>
    <t>+1 (267) 624-5455</t>
  </si>
  <si>
    <t xml:space="preserve"> 3414 Saint Vincent Street, Northeast Philadelphia, Philadelphia - PA  19149</t>
  </si>
  <si>
    <t>walquiriarb@hotmail.com</t>
  </si>
  <si>
    <t>$     2.974,77</t>
  </si>
  <si>
    <t>Ederlucia Martins de Oliveira</t>
  </si>
  <si>
    <t>061696716 02</t>
  </si>
  <si>
    <t xml:space="preserve"> 33 98871-0854</t>
  </si>
  <si>
    <t>38 George Street   Dambury CT 06810</t>
  </si>
  <si>
    <t>dudinhagv2@hotmail.com</t>
  </si>
  <si>
    <t>$    1.848,37</t>
  </si>
  <si>
    <t>Francieny Corrêa de Andrade TURMA 1</t>
  </si>
  <si>
    <t>097.051.276-70</t>
  </si>
  <si>
    <t>Rua Coronel João Candido de Aguiar, nº 383, Centro, Patrocínio/MG</t>
  </si>
  <si>
    <t>francienyandrade@outlook.com</t>
  </si>
  <si>
    <t>20/04/2025</t>
  </si>
  <si>
    <t>-</t>
  </si>
  <si>
    <t>Aluna da 1ª turma - condição especial: matrícula por R$ 19.000,00 e utilização do crédito de R$ 18.340,32</t>
  </si>
  <si>
    <t xml:space="preserve"> Carla Gaines</t>
  </si>
  <si>
    <t>349.208.078-21</t>
  </si>
  <si>
    <t>1 (973) 558-7256</t>
  </si>
  <si>
    <t>6809 Via Locanda,  Las Vegas, Nevada, 89132</t>
  </si>
  <si>
    <t>Carlacrivillarij@gmail.com</t>
  </si>
  <si>
    <t>2x 3.000 4x  3.622,98</t>
  </si>
  <si>
    <t>R$         23491.92</t>
  </si>
  <si>
    <t xml:space="preserve">Camila César de Lacerda </t>
  </si>
  <si>
    <t>061.983.974-08</t>
  </si>
  <si>
    <t>1 (647) 460-4546</t>
  </si>
  <si>
    <t>957 porcupine avenue , Mississauga , Mississauga, Canada,  L5H3K6</t>
  </si>
  <si>
    <t>camilacesar@yahoo.com</t>
  </si>
  <si>
    <t>R$         23533.32</t>
  </si>
  <si>
    <t>Therry Hansen Jardim</t>
  </si>
  <si>
    <t>009.808.400-31</t>
  </si>
  <si>
    <t>51 9820-5259</t>
  </si>
  <si>
    <t>Rua Léo Kraether, 713, Condomínio Serra Azul, Alameda Serra da Estrela, 89</t>
  </si>
  <si>
    <t>therryhj@gmail.com</t>
  </si>
  <si>
    <t>23,851,40</t>
  </si>
  <si>
    <t>Elisa Daniele bairros Machado</t>
  </si>
  <si>
    <t>017.636.420-03</t>
  </si>
  <si>
    <t xml:space="preserve"> 51 9364-3965</t>
  </si>
  <si>
    <t>Avenida do arvoredo 177 casa 4, Condomínio Quinta das Corticeiras, Bairro Santa Cruz, Cep: 94170314</t>
  </si>
  <si>
    <t xml:space="preserve"> elisambiomedica@gmail.com</t>
  </si>
  <si>
    <t>R$         23313.32</t>
  </si>
  <si>
    <t>ENVIADO e recebido</t>
  </si>
  <si>
    <t>Maria Aparecida de Souza</t>
  </si>
  <si>
    <t>056.733.576-30</t>
  </si>
  <si>
    <t>1 (860) 876-5013</t>
  </si>
  <si>
    <t>Boston Post Rod, Westbrook, Estados Unidos, 064981624</t>
  </si>
  <si>
    <t>matheusdacida@yahoo.com</t>
  </si>
  <si>
    <t xml:space="preserve">Letícia Faria Santos </t>
  </si>
  <si>
    <t xml:space="preserve">1(848)8449049 </t>
  </si>
  <si>
    <t xml:space="preserve"> 298 Westwood Ave, apartment 407, Long Branch NJ, CEP: 07740</t>
  </si>
  <si>
    <t>lelefariaa@outlook.com</t>
  </si>
  <si>
    <t>R$         22800</t>
  </si>
  <si>
    <t>Carla Cristina Rezende</t>
  </si>
  <si>
    <t>011.891.562-29</t>
  </si>
  <si>
    <t xml:space="preserve"> 69 9341-7117</t>
  </si>
  <si>
    <t>avenida josé vieira caúla, 3321  Brairro Embratel, 76820799  - Porto velho - RO</t>
  </si>
  <si>
    <t>carlarezendefisio@gmail.com</t>
  </si>
  <si>
    <t>R$         26528.28</t>
  </si>
  <si>
    <t>Em 12x no Cartão</t>
  </si>
  <si>
    <t>10/Setembro</t>
  </si>
  <si>
    <t>Cartão de credito</t>
  </si>
  <si>
    <t>Mediante negociação aluna ficou de pagar o valor restante do curso em setembro dia 10 e que vai decidir no dia se será no cartão em 12x ou a vista</t>
  </si>
  <si>
    <t xml:space="preserve">DESISTIU </t>
  </si>
  <si>
    <t xml:space="preserve"> Isis Vieira Lima </t>
  </si>
  <si>
    <t>046.040.065-71</t>
  </si>
  <si>
    <t>71 9169-0380</t>
  </si>
  <si>
    <t>alphaville litoral norte 1 Casa A1 lote 12, Abrantes , Camacari , CEP: 42821871</t>
  </si>
  <si>
    <t>draisisvieira@gmail.com</t>
  </si>
  <si>
    <t>R$         21756</t>
  </si>
  <si>
    <t xml:space="preserve"> Brenda Midori de Souza Niyama</t>
  </si>
  <si>
    <t>391.051.438-37</t>
  </si>
  <si>
    <t>11 96373-1995</t>
  </si>
  <si>
    <t>Rua Dona Germaine Burchard, 499,  Agua Branca , São Paulo  , CEP 05002-062</t>
  </si>
  <si>
    <t>brendaniyama@gmail.com</t>
  </si>
  <si>
    <t>$    4.939,96</t>
  </si>
  <si>
    <t>R$         22.759,84</t>
  </si>
  <si>
    <t>Mayara Barbosa Ferreira Campos</t>
  </si>
  <si>
    <t>016.722.511-17</t>
  </si>
  <si>
    <t>1 (854) 832-9511</t>
  </si>
  <si>
    <t>569 Spanish Wells rd Summerville - SC EUA 29486</t>
  </si>
  <si>
    <t>mayabf@hotmail.com</t>
  </si>
  <si>
    <t>R$         21887,6</t>
  </si>
  <si>
    <t>enviado</t>
  </si>
  <si>
    <t xml:space="preserve">Jessika Sales Ribeiro </t>
  </si>
  <si>
    <t>110.218.206-01</t>
  </si>
  <si>
    <t>34 99291-5800</t>
  </si>
  <si>
    <t>Alameda ficus 137, Bosque dos buritis, Uberlândia, Minas Gerais  38406566</t>
  </si>
  <si>
    <t>jessikasrn@gmail.com</t>
  </si>
  <si>
    <t>10.000,00</t>
  </si>
  <si>
    <t>R$         14000</t>
  </si>
  <si>
    <t>Avista</t>
  </si>
  <si>
    <t>PAGO A VISTA</t>
  </si>
  <si>
    <t>Gisele Matsubara Carneiro</t>
  </si>
  <si>
    <t>021.716.671-76</t>
  </si>
  <si>
    <t>65 996885379</t>
  </si>
  <si>
    <t>Rua santa Isabel 55, Bairro jardim santa Marta, Cuiabá Mt</t>
  </si>
  <si>
    <t>Gi.matsubara@icloud.com</t>
  </si>
  <si>
    <t>R$         20680</t>
  </si>
  <si>
    <t>Enviado 27/08</t>
  </si>
  <si>
    <t>Gabriele Regina Rebelatto</t>
  </si>
  <si>
    <t>019.806.620-10</t>
  </si>
  <si>
    <t>51 9130-6565</t>
  </si>
  <si>
    <t>João Theobaldo Dapper, 164, Vale Verde, dois irmãos RS</t>
  </si>
  <si>
    <t>Rebelattogr@live.com</t>
  </si>
  <si>
    <t>$                   18.976,36</t>
  </si>
  <si>
    <t>R$                       19.476,36</t>
  </si>
  <si>
    <t>51 99130-6565</t>
  </si>
  <si>
    <t>SACHA</t>
  </si>
  <si>
    <t>NEGOCIACAO LIBERADA MAURICIO</t>
  </si>
  <si>
    <t>Caruline Mendes Gobi</t>
  </si>
  <si>
    <t>045.053.271-24</t>
  </si>
  <si>
    <t>217 William St, Summerville 29487 Charleston - Carolina Do Sul Estados Unidos</t>
  </si>
  <si>
    <t>carulinegobi95@gmail.com</t>
  </si>
  <si>
    <t>4.280,84</t>
  </si>
  <si>
    <t>R$         20123.36</t>
  </si>
  <si>
    <t>+1 (843) 499-5083</t>
  </si>
  <si>
    <t>Daniele Bussolin</t>
  </si>
  <si>
    <t>083480207-48</t>
  </si>
  <si>
    <t>51 99252-2421</t>
  </si>
  <si>
    <t>Av central 1881/203 A - Atlântida - Xangrila - RS - Cep 95588-000</t>
  </si>
  <si>
    <t>danielecorleto@gmail.com</t>
  </si>
  <si>
    <t>Cartão</t>
  </si>
  <si>
    <t>R$         19500</t>
  </si>
  <si>
    <t xml:space="preserve">PIX / Cartão de Cretido </t>
  </si>
  <si>
    <t>25/08</t>
  </si>
  <si>
    <t>CAROL</t>
  </si>
  <si>
    <t xml:space="preserve">Marcia da Silva </t>
  </si>
  <si>
    <t>51 99251-8660</t>
  </si>
  <si>
    <t>7 Oklahoma avenue  - Montville  - New Jersey  - 07045 - USA</t>
  </si>
  <si>
    <t>Enfermeira.Tatiana07@gmail.com</t>
  </si>
  <si>
    <t>26/08</t>
  </si>
  <si>
    <t xml:space="preserve">Rosikelly de Sousa Almeida </t>
  </si>
  <si>
    <t>94 991248165</t>
  </si>
  <si>
    <t>Avenida Mato grosso n 39 - Capuava 1 - Redenção  -  68552-630</t>
  </si>
  <si>
    <t>kelly_rosi@hotmail.com</t>
  </si>
  <si>
    <t>R$         19584</t>
  </si>
  <si>
    <t>27/08</t>
  </si>
  <si>
    <t>94 9124-8165</t>
  </si>
  <si>
    <t>EVENTO CONTOX</t>
  </si>
  <si>
    <t xml:space="preserve">Carina Mendes </t>
  </si>
  <si>
    <t>059.595.809-50</t>
  </si>
  <si>
    <t>16 Merlin St -  Framingham-Massachussets - codigo postal 01701</t>
  </si>
  <si>
    <t xml:space="preserve"> dra.carinamendes@gmail.com</t>
  </si>
  <si>
    <t>R$         20520</t>
  </si>
  <si>
    <t>+1 5085988209</t>
  </si>
  <si>
    <t xml:space="preserve">Thaís Cardoso Palácios </t>
  </si>
  <si>
    <t>406.431.278-36</t>
  </si>
  <si>
    <t>+1 (321) 831-2017</t>
  </si>
  <si>
    <t xml:space="preserve"> 2424 Grand Central Pkwy unit 2 - Orlando - FL</t>
  </si>
  <si>
    <t>thais_palacios@hotmail.com</t>
  </si>
  <si>
    <t>R$         20650.32</t>
  </si>
  <si>
    <t>29/08</t>
  </si>
  <si>
    <t xml:space="preserve">Leandra Teixeira de Almeida Mendes da Silva </t>
  </si>
  <si>
    <t>090.361.257-74</t>
  </si>
  <si>
    <t>21 99238-7724</t>
  </si>
  <si>
    <t>Av César morani 500 bl 9 apt 303  Recreio dos bandeirantes  22790795</t>
  </si>
  <si>
    <t>Leandra.tam@gmail.com</t>
  </si>
  <si>
    <t>R$         21539.2</t>
  </si>
  <si>
    <t xml:space="preserve">João Henrique Pinheiro Sousa </t>
  </si>
  <si>
    <t>726.833.251-34</t>
  </si>
  <si>
    <t>77 98167-7371</t>
  </si>
  <si>
    <t>Rua don Sebastião Tomaz número 322 bairro canudinho cep 68540-000. Conceição do arraguaia- Para.</t>
  </si>
  <si>
    <t>Johnnyme2015@gmail.com</t>
  </si>
  <si>
    <t>R$            19952</t>
  </si>
  <si>
    <t>TED BTG</t>
  </si>
  <si>
    <t>77 8167-7371</t>
  </si>
  <si>
    <t>Cancelado no prazo de 7 dias</t>
  </si>
  <si>
    <t xml:space="preserve">Katrina de Souza Vasques </t>
  </si>
  <si>
    <t>Endereço: rua perpétua 115 casa 3  Cep:79032202</t>
  </si>
  <si>
    <t>katrinavasques@yahoo.com.br</t>
  </si>
  <si>
    <t>R$            20.869,65</t>
  </si>
  <si>
    <t>Cristina Frassetti Jodjahn e Sousa</t>
  </si>
  <si>
    <t>054685297-18</t>
  </si>
  <si>
    <t>+1 (832) 892-2260</t>
  </si>
  <si>
    <t xml:space="preserve">33000 Falcon Landing Blvd #7103  77494 Katy </t>
  </si>
  <si>
    <t>cristinafra7@gmail.com</t>
  </si>
  <si>
    <t>$                           3.918,14</t>
  </si>
  <si>
    <t>R$            20.672,56</t>
  </si>
  <si>
    <t xml:space="preserve">Mariana Katy Boykin </t>
  </si>
  <si>
    <t>+1 (407) 506-8730</t>
  </si>
  <si>
    <t>421 Cabello Drive Davenport  Florida 33837</t>
  </si>
  <si>
    <t xml:space="preserve">Marianakaty.assuncao1@gmail.com </t>
  </si>
  <si>
    <t>R$            20.102</t>
  </si>
  <si>
    <t>Amanda Priscilla da Cunha</t>
  </si>
  <si>
    <t>022.369.019-84</t>
  </si>
  <si>
    <t>+1 (631) 355-5144</t>
  </si>
  <si>
    <t>160 Terry Road - Smithtown NY 11787</t>
  </si>
  <si>
    <t>greenportholding@gmail.com</t>
  </si>
  <si>
    <t>$                           4.437,02</t>
  </si>
  <si>
    <t>R$            20.748</t>
  </si>
  <si>
    <t xml:space="preserve">Marcilene Lopes de Souza </t>
  </si>
  <si>
    <t>087.479.317-36</t>
  </si>
  <si>
    <t>+1 941 4126469</t>
  </si>
  <si>
    <t>Endereço: 1847 Highland Rd Osprey Fl.</t>
  </si>
  <si>
    <t xml:space="preserve"> marcilenelopessouza@gmail.com</t>
  </si>
  <si>
    <t xml:space="preserve">3800 Dolares </t>
  </si>
  <si>
    <t>Cartão de credito Hubla</t>
  </si>
  <si>
    <t>27/09</t>
  </si>
  <si>
    <t xml:space="preserve">Maristella Gabriela </t>
  </si>
  <si>
    <t>413 817 798 16</t>
  </si>
  <si>
    <t>+1 F50:F51</t>
  </si>
  <si>
    <t>Avenida Manoel dos Santos Braga 55 03807320</t>
  </si>
  <si>
    <t xml:space="preserve"> mgds1991@icloud.com</t>
  </si>
  <si>
    <t>Cartão de Credito kwfi</t>
  </si>
  <si>
    <t>13/10</t>
  </si>
  <si>
    <t>+1 203 800 1434</t>
  </si>
  <si>
    <t xml:space="preserve">Indicação </t>
  </si>
  <si>
    <t xml:space="preserve">COMISSÃO </t>
  </si>
  <si>
    <t>(55) 992452323</t>
  </si>
  <si>
    <t>Rua lagoa vermelha 395 Bairro Dom Antônio Reis Santa Maria 97065230</t>
  </si>
  <si>
    <t>17/10</t>
  </si>
  <si>
    <t>OTB T2</t>
  </si>
  <si>
    <t>DESISTIU DA COMPRA</t>
  </si>
  <si>
    <t>Tatiane de Moraes Norberto</t>
  </si>
  <si>
    <t>(55) 3299553285</t>
  </si>
  <si>
    <t>Rua Major Vieira 129, centro apto 202 - Cep 36770060</t>
  </si>
  <si>
    <t>contactotatianemoraees@gmail.com</t>
  </si>
  <si>
    <t>ENVIADO E RECEBIDO</t>
  </si>
  <si>
    <t>AGUARDANDO</t>
  </si>
  <si>
    <t>Cash back indicação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</si>
</sst>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&quot;R$&quot;\ #,##0.00"/>
    <numFmt numFmtId="167" formatCode="_([$$-409]* #,##0.00_);_([$$-409]* \(#,##0.00\);_([$$-409]* &quot;-&quot;??_);_(@_)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name val="Segoe UI Semilight"/>
      <family val="2"/>
    </font>
    <font>
      <sz val="14"/>
      <name val="Segoe UI Semilight"/>
      <family val="2"/>
    </font>
    <font>
      <sz val="11"/>
      <color rgb="FF000000"/>
      <name val="Aptos Narrow"/>
      <charset val="1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242424"/>
      <name val="Aptos Narrow"/>
      <charset val="1"/>
    </font>
    <font>
      <b/>
      <sz val="14"/>
      <color rgb="FF000000"/>
      <name val="Segoe UI Semilight"/>
      <family val="2"/>
    </font>
    <font>
      <b/>
      <sz val="11"/>
      <color rgb="FF000000"/>
      <name val="Inter"/>
      <charset val="1"/>
    </font>
    <font>
      <sz val="14"/>
      <color rgb="FF000000"/>
      <name val="Segoe UI Semilight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2BBB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3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4" fontId="2" fillId="2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4" fontId="3" fillId="2" borderId="1" xfId="1" applyFont="1" applyFill="1" applyBorder="1" applyAlignment="1">
      <alignment horizontal="center" vertical="center"/>
    </xf>
    <xf numFmtId="44" fontId="3" fillId="2" borderId="1" xfId="0" applyNumberFormat="1" applyFont="1" applyFill="1" applyBorder="1" applyAlignment="1">
      <alignment horizontal="center" vertical="center"/>
    </xf>
    <xf numFmtId="16" fontId="3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2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5" fillId="0" borderId="1" xfId="2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4" fontId="3" fillId="3" borderId="1" xfId="1" applyFont="1" applyFill="1" applyBorder="1" applyAlignment="1">
      <alignment horizontal="center" vertical="center"/>
    </xf>
    <xf numFmtId="44" fontId="3" fillId="3" borderId="1" xfId="0" applyNumberFormat="1" applyFont="1" applyFill="1" applyBorder="1" applyAlignment="1">
      <alignment horizontal="center" vertical="center"/>
    </xf>
    <xf numFmtId="16" fontId="3" fillId="3" borderId="1" xfId="0" applyNumberFormat="1" applyFont="1" applyFill="1" applyBorder="1" applyAlignment="1">
      <alignment horizontal="center" vertical="center"/>
    </xf>
    <xf numFmtId="0" fontId="5" fillId="2" borderId="1" xfId="2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/>
    </xf>
    <xf numFmtId="16" fontId="0" fillId="2" borderId="1" xfId="0" applyNumberFormat="1" applyFill="1" applyBorder="1" applyAlignment="1">
      <alignment horizontal="center"/>
    </xf>
    <xf numFmtId="0" fontId="5" fillId="2" borderId="1" xfId="2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3" fontId="5" fillId="2" borderId="1" xfId="2" applyNumberFormat="1" applyFill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7" fillId="5" borderId="1" xfId="0" applyFont="1" applyFill="1" applyBorder="1"/>
    <xf numFmtId="0" fontId="7" fillId="0" borderId="2" xfId="0" applyFont="1" applyBorder="1"/>
    <xf numFmtId="0" fontId="7" fillId="5" borderId="2" xfId="0" applyFont="1" applyFill="1" applyBorder="1"/>
    <xf numFmtId="167" fontId="0" fillId="0" borderId="1" xfId="0" applyNumberFormat="1" applyBorder="1" applyAlignment="1">
      <alignment horizontal="right"/>
    </xf>
    <xf numFmtId="166" fontId="0" fillId="2" borderId="1" xfId="0" applyNumberFormat="1" applyFill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4" fontId="0" fillId="2" borderId="1" xfId="0" applyNumberFormat="1" applyFill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8" fillId="0" borderId="0" xfId="0" applyFont="1" applyBorder="1"/>
    <xf numFmtId="0" fontId="0" fillId="7" borderId="1" xfId="0" applyFill="1" applyBorder="1" applyAlignment="1">
      <alignment horizontal="center"/>
    </xf>
    <xf numFmtId="0" fontId="5" fillId="7" borderId="1" xfId="2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166" fontId="0" fillId="7" borderId="1" xfId="0" applyNumberFormat="1" applyFill="1" applyBorder="1" applyAlignment="1">
      <alignment horizontal="center"/>
    </xf>
    <xf numFmtId="14" fontId="0" fillId="7" borderId="1" xfId="0" applyNumberFormat="1" applyFill="1" applyBorder="1" applyAlignment="1">
      <alignment horizontal="center"/>
    </xf>
    <xf numFmtId="16" fontId="0" fillId="7" borderId="1" xfId="0" applyNumberFormat="1" applyFill="1" applyBorder="1" applyAlignment="1">
      <alignment horizontal="center"/>
    </xf>
    <xf numFmtId="167" fontId="0" fillId="7" borderId="1" xfId="0" applyNumberFormat="1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3" fontId="0" fillId="7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5" fillId="3" borderId="1" xfId="2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" fontId="0" fillId="3" borderId="1" xfId="0" applyNumberForma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3" xfId="0" applyFill="1" applyBorder="1" applyAlignment="1">
      <alignment horizontal="center"/>
    </xf>
    <xf numFmtId="164" fontId="0" fillId="0" borderId="0" xfId="0" applyNumberFormat="1" applyFill="1" applyAlignment="1">
      <alignment horizontal="center"/>
    </xf>
    <xf numFmtId="0" fontId="0" fillId="0" borderId="0" xfId="0" pivotButton="1"/>
    <xf numFmtId="0" fontId="0" fillId="0" borderId="0" xfId="0" applyNumberFormat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9" fillId="8" borderId="3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/>
    </xf>
    <xf numFmtId="164" fontId="9" fillId="8" borderId="3" xfId="1" applyNumberFormat="1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5" fillId="7" borderId="2" xfId="2" applyFill="1" applyBorder="1" applyAlignment="1">
      <alignment horizontal="center"/>
    </xf>
    <xf numFmtId="164" fontId="0" fillId="7" borderId="2" xfId="0" applyNumberFormat="1" applyFill="1" applyBorder="1" applyAlignment="1">
      <alignment horizontal="center"/>
    </xf>
    <xf numFmtId="164" fontId="4" fillId="7" borderId="2" xfId="0" applyNumberFormat="1" applyFont="1" applyFill="1" applyBorder="1" applyAlignment="1">
      <alignment horizontal="center"/>
    </xf>
    <xf numFmtId="0" fontId="0" fillId="7" borderId="2" xfId="0" applyFill="1" applyBorder="1" applyAlignment="1">
      <alignment horizontal="center" vertical="center"/>
    </xf>
    <xf numFmtId="14" fontId="0" fillId="7" borderId="2" xfId="0" applyNumberFormat="1" applyFill="1" applyBorder="1" applyAlignment="1">
      <alignment horizontal="center"/>
    </xf>
    <xf numFmtId="16" fontId="0" fillId="7" borderId="2" xfId="0" applyNumberFormat="1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10" fillId="8" borderId="3" xfId="0" applyFont="1" applyFill="1" applyBorder="1" applyAlignment="1">
      <alignment horizontal="center"/>
    </xf>
    <xf numFmtId="0" fontId="8" fillId="7" borderId="0" xfId="0" applyFont="1" applyFill="1" applyAlignment="1">
      <alignment horizontal="left"/>
    </xf>
    <xf numFmtId="0" fontId="0" fillId="2" borderId="1" xfId="0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2" fillId="8" borderId="3" xfId="0" applyFont="1" applyFill="1" applyBorder="1" applyAlignment="1">
      <alignment horizontal="center" vertical="center"/>
    </xf>
    <xf numFmtId="164" fontId="2" fillId="8" borderId="3" xfId="1" applyNumberFormat="1" applyFont="1" applyFill="1" applyBorder="1" applyAlignment="1">
      <alignment horizontal="center" vertical="center"/>
    </xf>
    <xf numFmtId="0" fontId="5" fillId="0" borderId="3" xfId="2" applyFill="1" applyBorder="1" applyAlignment="1">
      <alignment horizontal="center"/>
    </xf>
    <xf numFmtId="164" fontId="4" fillId="0" borderId="3" xfId="0" applyNumberFormat="1" applyFont="1" applyFill="1" applyBorder="1" applyAlignment="1">
      <alignment horizontal="center"/>
    </xf>
    <xf numFmtId="164" fontId="0" fillId="0" borderId="3" xfId="0" applyNumberFormat="1" applyFill="1" applyBorder="1" applyAlignment="1">
      <alignment horizontal="center" vertical="center"/>
    </xf>
    <xf numFmtId="14" fontId="0" fillId="0" borderId="3" xfId="0" applyNumberFormat="1" applyFill="1" applyBorder="1" applyAlignment="1">
      <alignment horizontal="center"/>
    </xf>
    <xf numFmtId="16" fontId="0" fillId="0" borderId="3" xfId="0" applyNumberFormat="1" applyFill="1" applyBorder="1" applyAlignment="1">
      <alignment horizontal="center"/>
    </xf>
    <xf numFmtId="164" fontId="0" fillId="0" borderId="3" xfId="0" applyNumberFormat="1" applyFill="1" applyBorder="1" applyAlignment="1">
      <alignment horizontal="center"/>
    </xf>
    <xf numFmtId="0" fontId="0" fillId="0" borderId="3" xfId="0" applyFill="1" applyBorder="1" applyAlignment="1">
      <alignment horizontal="center" vertical="center"/>
    </xf>
    <xf numFmtId="0" fontId="5" fillId="0" borderId="3" xfId="2" applyFill="1" applyBorder="1" applyAlignment="1">
      <alignment horizontal="center" vertical="center"/>
    </xf>
    <xf numFmtId="14" fontId="0" fillId="0" borderId="3" xfId="0" applyNumberFormat="1" applyFill="1" applyBorder="1" applyAlignment="1">
      <alignment horizontal="center" vertical="center"/>
    </xf>
    <xf numFmtId="166" fontId="0" fillId="0" borderId="3" xfId="0" applyNumberFormat="1" applyFill="1" applyBorder="1" applyAlignment="1">
      <alignment horizontal="center"/>
    </xf>
    <xf numFmtId="3" fontId="5" fillId="0" borderId="3" xfId="2" applyNumberFormat="1" applyFill="1" applyBorder="1" applyAlignment="1">
      <alignment horizontal="center"/>
    </xf>
    <xf numFmtId="3" fontId="0" fillId="0" borderId="3" xfId="0" applyNumberFormat="1" applyFill="1" applyBorder="1" applyAlignment="1">
      <alignment horizontal="center"/>
    </xf>
    <xf numFmtId="0" fontId="7" fillId="0" borderId="3" xfId="0" applyFont="1" applyFill="1" applyBorder="1"/>
    <xf numFmtId="167" fontId="0" fillId="0" borderId="3" xfId="0" applyNumberFormat="1" applyFill="1" applyBorder="1" applyAlignment="1">
      <alignment horizontal="center"/>
    </xf>
    <xf numFmtId="167" fontId="0" fillId="0" borderId="3" xfId="0" applyNumberFormat="1" applyFill="1" applyBorder="1" applyAlignment="1">
      <alignment horizontal="right"/>
    </xf>
    <xf numFmtId="4" fontId="0" fillId="0" borderId="3" xfId="0" applyNumberFormat="1" applyFill="1" applyBorder="1" applyAlignment="1">
      <alignment horizontal="center"/>
    </xf>
    <xf numFmtId="165" fontId="0" fillId="0" borderId="3" xfId="0" applyNumberFormat="1" applyFill="1" applyBorder="1" applyAlignment="1">
      <alignment horizontal="center"/>
    </xf>
    <xf numFmtId="0" fontId="8" fillId="0" borderId="3" xfId="0" applyFont="1" applyFill="1" applyBorder="1"/>
    <xf numFmtId="0" fontId="2" fillId="0" borderId="3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0" fillId="7" borderId="1" xfId="0" applyFill="1" applyBorder="1" applyAlignment="1">
      <alignment horizontal="left" wrapText="1"/>
    </xf>
    <xf numFmtId="0" fontId="0" fillId="0" borderId="1" xfId="0" applyBorder="1" applyAlignment="1">
      <alignment horizontal="left" vertical="center"/>
    </xf>
    <xf numFmtId="0" fontId="0" fillId="0" borderId="0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3" xfId="0" applyFill="1" applyBorder="1" applyAlignment="1">
      <alignment horizontal="left"/>
    </xf>
    <xf numFmtId="0" fontId="6" fillId="0" borderId="3" xfId="0" applyFont="1" applyFill="1" applyBorder="1" applyAlignment="1">
      <alignment horizontal="left"/>
    </xf>
    <xf numFmtId="0" fontId="0" fillId="0" borderId="3" xfId="0" applyFill="1" applyBorder="1" applyAlignment="1">
      <alignment horizontal="left" vertical="center"/>
    </xf>
    <xf numFmtId="0" fontId="0" fillId="0" borderId="0" xfId="0" applyFill="1" applyAlignment="1">
      <alignment horizontal="left"/>
    </xf>
    <xf numFmtId="0" fontId="5" fillId="0" borderId="3" xfId="2" applyFill="1" applyBorder="1" applyAlignment="1">
      <alignment horizontal="left"/>
    </xf>
    <xf numFmtId="0" fontId="6" fillId="0" borderId="3" xfId="0" applyFont="1" applyFill="1" applyBorder="1" applyAlignment="1">
      <alignment horizontal="left" vertical="center"/>
    </xf>
    <xf numFmtId="0" fontId="0" fillId="0" borderId="3" xfId="0" applyFill="1" applyBorder="1" applyAlignment="1">
      <alignment horizontal="left" wrapText="1"/>
    </xf>
    <xf numFmtId="0" fontId="8" fillId="0" borderId="0" xfId="0" applyFont="1"/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</cellXfs>
  <cellStyles count="3">
    <cellStyle name="Hyperlink" xfId="2" xr:uid="{00000000-000B-0000-0000-000008000000}"/>
    <cellStyle name="Moeda" xfId="1" builtinId="4"/>
    <cellStyle name="Normal" xfId="0" builtinId="0"/>
  </cellStyles>
  <dxfs count="2">
    <dxf>
      <alignment horizontal="center"/>
    </dxf>
    <dxf>
      <alignment horizontal="center"/>
    </dxf>
  </dxfs>
  <tableStyles count="0" defaultTableStyle="TableStyleMedium2" defaultPivotStyle="PivotStyleLight16"/>
  <colors>
    <mruColors>
      <color rgb="FFF2BBB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5.530092592591" createdVersion="8" refreshedVersion="8" minRefreshableVersion="3" recordCount="63" xr:uid="{322CE501-2E55-437C-B3B8-CFCC92ED2DB7}">
  <cacheSource type="worksheet">
    <worksheetSource ref="A1:V1048576" sheet="OTB TURMA 2"/>
  </cacheSource>
  <cacheFields count="22">
    <cacheField name="QTD" numFmtId="0">
      <sharedItems containsString="0" containsBlank="1" containsNumber="1" containsInteger="1" minValue="1" maxValue="50"/>
    </cacheField>
    <cacheField name="NOME DA ALUNA" numFmtId="0">
      <sharedItems containsBlank="1"/>
    </cacheField>
    <cacheField name="CPF" numFmtId="0">
      <sharedItems containsBlank="1" containsMixedTypes="1" containsNumber="1" containsInteger="1" minValue="12342265611" maxValue="93143354100"/>
    </cacheField>
    <cacheField name="TELEFONE" numFmtId="0">
      <sharedItems containsBlank="1" containsMixedTypes="1" containsNumber="1" containsInteger="1" minValue="4196691866" maxValue="81997318624"/>
    </cacheField>
    <cacheField name="ENDEREÇO" numFmtId="0">
      <sharedItems containsBlank="1"/>
    </cacheField>
    <cacheField name="E-MAIL" numFmtId="0">
      <sharedItems containsBlank="1"/>
    </cacheField>
    <cacheField name="APLICAÇÃO" numFmtId="164">
      <sharedItems containsString="0" containsBlank="1" containsNumber="1" minValue="500" maxValue="20102"/>
    </cacheField>
    <cacheField name="PARCELAS" numFmtId="0">
      <sharedItems containsBlank="1" containsMixedTypes="1" containsNumber="1" containsInteger="1" minValue="0" maxValue="12"/>
    </cacheField>
    <cacheField name="VALOR" numFmtId="0">
      <sharedItems containsBlank="1" containsMixedTypes="1" containsNumber="1" minValue="0" maxValue="17952"/>
    </cacheField>
    <cacheField name="TOTAL" numFmtId="0">
      <sharedItems containsBlank="1" containsMixedTypes="1" containsNumber="1" minValue="19000" maxValue="25392"/>
    </cacheField>
    <cacheField name="Forma" numFmtId="0">
      <sharedItems containsBlank="1"/>
    </cacheField>
    <cacheField name="Primeiro Vencimento" numFmtId="0">
      <sharedItems containsDate="1" containsBlank="1" containsMixedTypes="1" minDate="2024-10-12T00:00:00" maxDate="2025-10-11T00:00:00"/>
    </cacheField>
    <cacheField name="Data da venda" numFmtId="0">
      <sharedItems containsDate="1" containsBlank="1" containsMixedTypes="1" minDate="2024-10-12T00:00:00" maxDate="2025-09-21T00:00:00"/>
    </cacheField>
    <cacheField name="TELEFONE2" numFmtId="0">
      <sharedItems containsBlank="1" containsMixedTypes="1" containsNumber="1" containsInteger="1" minValue="4196691866" maxValue="81997318624"/>
    </cacheField>
    <cacheField name="LOTE" numFmtId="0">
      <sharedItems containsBlank="1" containsMixedTypes="1" containsNumber="1" containsInteger="1" minValue="1" maxValue="2"/>
    </cacheField>
    <cacheField name="CONSULTOR" numFmtId="0">
      <sharedItems containsBlank="1" count="6">
        <s v="Matheus"/>
        <s v="Lucas"/>
        <s v="Rubia"/>
        <m/>
        <s v="Matheus " u="1"/>
        <s v="-" u="1"/>
      </sharedItems>
    </cacheField>
    <cacheField name="ORIGEM DO LEAD" numFmtId="0">
      <sharedItems containsBlank="1"/>
    </cacheField>
    <cacheField name="STATUS BOLETO" numFmtId="0">
      <sharedItems containsBlank="1"/>
    </cacheField>
    <cacheField name="Contrato" numFmtId="0">
      <sharedItems containsBlank="1"/>
    </cacheField>
    <cacheField name="Aditivo" numFmtId="0">
      <sharedItems containsNonDate="0" containsString="0" containsBlank="1"/>
    </cacheField>
    <cacheField name="Situação Jurídico" numFmtId="0">
      <sharedItems containsBlank="1" count="6">
        <s v="não irá seguir"/>
        <s v="Assinado "/>
        <s v="Distrato assinado"/>
        <s v="cancelamento no prazo de 7"/>
        <m/>
        <s v="Assinado" u="1"/>
      </sharedItems>
    </cacheField>
    <cacheField name="OBSERVAÇÃ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n v="1"/>
    <s v="Danila dos Santos Lima Somma"/>
    <s v="390.752.998-77"/>
    <s v="11 97147-2829"/>
    <s v="Rua Geraldo Alves Celestino"/>
    <s v="slimesteticabr@gmail.com"/>
    <n v="3000"/>
    <n v="11"/>
    <n v="1603.45"/>
    <s v="R$20.628"/>
    <s v="Boleto "/>
    <d v="2024-10-12T00:00:00"/>
    <d v="2024-10-20T00:00:00"/>
    <s v="11 97147-2829"/>
    <n v="1"/>
    <x v="0"/>
    <s v="TRÁFEGO"/>
    <s v="Enviado e recebido"/>
    <s v="Enviado"/>
    <m/>
    <x v="0"/>
    <s v="Aluna que não conseguiu o visto. Irá aproveitar o valor pago na matrícula  em algum curso do IESE (segundo o Matheus, a Ana Carolina autorizou)."/>
  </r>
  <r>
    <n v="2"/>
    <s v="Priscylla César de Barros Abrantes "/>
    <s v="050.152.914-42"/>
    <s v="83 9857-0340"/>
    <s v="          Av. Max Zagel, 690"/>
    <s v="priscyllacesarba@gmail.com"/>
    <n v="3000"/>
    <n v="11"/>
    <n v="1668"/>
    <s v="R$21.348"/>
    <s v="Boleto "/>
    <s v="30/12/2024"/>
    <d v="2024-11-02T00:00:00"/>
    <s v="83 9857-0340"/>
    <n v="1"/>
    <x v="0"/>
    <s v=" Indicação Sacha"/>
    <s v="Enviado e recebido"/>
    <s v="Enviado"/>
    <m/>
    <x v="1"/>
    <m/>
  </r>
  <r>
    <n v="3"/>
    <s v="Thaís Olímpia Gonçalves Agostinho"/>
    <s v="351.122.158-79"/>
    <s v="15 99125-1977"/>
    <s v="Avenida Professor Arthur Fonseca, 203 "/>
    <s v="thaisolimpia@outlook.com"/>
    <n v="3000"/>
    <n v="11"/>
    <n v="1668"/>
    <s v="R$21.348"/>
    <s v="Boleto "/>
    <s v="20/12/2024"/>
    <d v="2024-11-09T00:00:00"/>
    <s v="15 99125-1977"/>
    <n v="1"/>
    <x v="0"/>
    <s v="TRÁFEGO"/>
    <s v="Enviado e recebido"/>
    <s v="Enviado"/>
    <m/>
    <x v="2"/>
    <s v="Não conseguiu visto. Vai migrar para o NEON- distrato assinado"/>
  </r>
  <r>
    <n v="4"/>
    <s v="Andressa Elisa Quadros Abdalla"/>
    <s v="047.441.069-27"/>
    <s v="41 9199-7771"/>
    <s v="       Rua Emilio Cornelsen, 500"/>
    <s v="andressaquadros@gmail.com"/>
    <n v="3000"/>
    <n v="12"/>
    <n v="1460.57"/>
    <s v="R$20.526"/>
    <s v="Boleto "/>
    <s v="20/12/2024"/>
    <d v="2024-11-13T00:00:00"/>
    <s v="41 9199-7771"/>
    <n v="1"/>
    <x v="0"/>
    <s v="Indicação Jéssica Padilha"/>
    <s v="Enviado e recebido"/>
    <s v="Enviado"/>
    <m/>
    <x v="1"/>
    <m/>
  </r>
  <r>
    <n v="5"/>
    <s v="Jéssica Padilha"/>
    <s v="010.591.559-90"/>
    <n v="4196691866"/>
    <s v="Rua brigadeiro Franco 1466"/>
    <s v="jessicadalgallop@gmail.com"/>
    <n v="3000"/>
    <n v="9"/>
    <n v="1927.66"/>
    <s v="R$20.348"/>
    <s v="Boleto "/>
    <s v="15/12/2024"/>
    <s v="22/11"/>
    <n v="4196691866"/>
    <n v="1"/>
    <x v="0"/>
    <s v="TRÁFEGO"/>
    <s v="Enviado e recebido"/>
    <s v="Enviado"/>
    <m/>
    <x v="1"/>
    <m/>
  </r>
  <r>
    <n v="6"/>
    <s v="Fernanda Berlato Nunes"/>
    <s v="854.383.910-68"/>
    <s v="55 9245-2323"/>
    <s v="Rua lagoa vermelha 395"/>
    <s v="fernandaberlato04@gmail.com"/>
    <n v="3000"/>
    <n v="10"/>
    <n v="2142.08"/>
    <s v="R$24.420"/>
    <s v="Boleto "/>
    <d v="2024-10-12T00:00:00"/>
    <s v="25/11"/>
    <s v="55 9245-2323"/>
    <n v="1"/>
    <x v="0"/>
    <s v="TRÁFEGO"/>
    <s v="Enviado e recebido"/>
    <s v="Enviado"/>
    <m/>
    <x v="1"/>
    <m/>
  </r>
  <r>
    <n v="7"/>
    <s v=" Janaína Auxiliadora de Castro Silva Gomes "/>
    <s v="051.626.646-26"/>
    <s v="43 9602-1194"/>
    <s v=" Rua Maria Lúcia da paz 455 apto 2203 "/>
    <s v="relatoriodiariominas@gmail.com"/>
    <n v="3000"/>
    <n v="9"/>
    <n v="2391.7600000000002"/>
    <s v="R$24.519"/>
    <s v="Boleto "/>
    <d v="2025-10-01T00:00:00"/>
    <s v="28/11"/>
    <s v="43 9602-1194"/>
    <n v="1"/>
    <x v="0"/>
    <s v="Flávia Menezes (Neon)"/>
    <s v="Enviado e recebido"/>
    <s v="Enviado"/>
    <m/>
    <x v="1"/>
    <m/>
  </r>
  <r>
    <n v="8"/>
    <s v="Kátia Vieira da Silva "/>
    <s v="096.675.294-52"/>
    <n v="81997318624"/>
    <s v="Av. Portugal, 897 - Universitário, Edifício EKO HOME CLUB, APTO. 503 - Torre Jacarandá. Caruaru - PE, CEP: 55016-400."/>
    <s v="katiavieirads@hotmail.com"/>
    <n v="10000"/>
    <n v="4"/>
    <n v="2500"/>
    <s v="R$20.000"/>
    <s v="PIX"/>
    <s v="QUITADO"/>
    <s v="QUITADO"/>
    <n v="81997318624"/>
    <n v="1"/>
    <x v="0"/>
    <s v="Indicação Sacha"/>
    <s v="QUITADO"/>
    <s v="Enviado"/>
    <m/>
    <x v="1"/>
    <m/>
  </r>
  <r>
    <n v="9"/>
    <s v="Catiele Lopes Marchioro "/>
    <s v="046.744.601-66"/>
    <n v="66992429671"/>
    <s v="Edifício Santorini, 1564. Apartamento 404, Centro, Sorriso ,78.890-126"/>
    <s v="catiele.lb@gmail.com"/>
    <n v="3000"/>
    <n v="10"/>
    <n v="2268"/>
    <s v="R$25.680"/>
    <s v="Boleto "/>
    <d v="2025-10-01T00:00:00"/>
    <d v="2024-10-12T00:00:00"/>
    <n v="66992429671"/>
    <n v="1"/>
    <x v="1"/>
    <s v="TRÁFEGO"/>
    <s v="Enviado e recebido"/>
    <s v="Enviado"/>
    <m/>
    <x v="1"/>
    <s v="INFORMOU QUE NÃO CONSEGUIU O VISTO EM 01/10 - ENVIOU UM DOCUMENTO MUITO DUVIDOSO- Distrato assinado"/>
  </r>
  <r>
    <n v="10"/>
    <s v="Flávia Vignoli Alves"/>
    <s v="073.437.867-09"/>
    <n v="22988136323"/>
    <s v=" Av Oceanica 1402 Itauna Saquarema RJ Cep 28990-838"/>
    <s v="flaviaalvesfisio@gmail.com"/>
    <n v="5000"/>
    <n v="9"/>
    <n v="2165.39"/>
    <s v="R$24.488,51"/>
    <s v="Boleto "/>
    <d v="2025-10-02T00:00:00"/>
    <d v="2025-01-07T00:00:00"/>
    <n v="22988136323"/>
    <n v="1"/>
    <x v="0"/>
    <s v="TRÁFEGO"/>
    <s v="Enviado e recebido"/>
    <s v="Enviado"/>
    <m/>
    <x v="1"/>
    <m/>
  </r>
  <r>
    <n v="11"/>
    <s v="Ana Tiara de Souza Queiroz"/>
    <s v="021.266.691-65"/>
    <s v="67 9273-7023"/>
    <s v="Rua Jurandir Santana Nogueira, 72  Pq. Residencial Girassóis  Campo Grande/ MS 79091-816"/>
    <s v="thyara.souza@hotmail.com"/>
    <n v="3000"/>
    <n v="9"/>
    <n v="2416.3000000000002"/>
    <n v="24744"/>
    <s v="Boleto "/>
    <s v="15/2/2025"/>
    <d v="2025-01-11T00:00:00"/>
    <s v="67 9273-7023"/>
    <n v="1"/>
    <x v="0"/>
    <s v="Ana Cassia"/>
    <s v="Enviado e recebido"/>
    <s v="Enviado"/>
    <m/>
    <x v="1"/>
    <s v="Não conseguiu o visto. Ficará para a turma de 2026"/>
  </r>
  <r>
    <n v="12"/>
    <s v="Angela Maria Almeida Vilimaitis"/>
    <s v="019.640. 841-56"/>
    <s v=" +1 (978) 793-2645"/>
    <s v="773 Massachusetts ave C9 BAIRRO: X Boxborough MA CEP 01719"/>
    <s v="angelameyda@gmail.com"/>
    <n v="3000"/>
    <n v="9"/>
    <n v="2488"/>
    <n v="25392"/>
    <s v="Boleto "/>
    <d v="2025-10-02T00:00:00"/>
    <d v="2025-01-11T00:00:00"/>
    <s v=" +1 (978) 793-2645"/>
    <n v="1"/>
    <x v="0"/>
    <s v="Indicação Lorrana Ribeiro "/>
    <s v="Enviado e recebido"/>
    <s v="Enviado"/>
    <m/>
    <x v="1"/>
    <m/>
  </r>
  <r>
    <n v="13"/>
    <s v="Lorrana Ribeiro Aguiar"/>
    <s v="038.382.061-85"/>
    <s v="+1 (978) 990-0933"/>
    <s v=" 2 south cove Rd Hubbardston 01453 Massachusetts Estados unidos"/>
    <s v="Lorranaribeiroaguiar@gmail.com"/>
    <n v="3000"/>
    <n v="9"/>
    <n v="2344"/>
    <n v="24096"/>
    <s v="Boleto "/>
    <d v="2025-10-02T00:00:00"/>
    <d v="2025-01-11T00:00:00"/>
    <s v="+1 (978) 990-0933"/>
    <n v="1"/>
    <x v="0"/>
    <s v="TRÁFEGO"/>
    <s v="Enviado e recebido"/>
    <s v="Enviado"/>
    <m/>
    <x v="1"/>
    <m/>
  </r>
  <r>
    <n v="14"/>
    <s v="Patrícia Michely de Sousa "/>
    <s v="033.183.751-01"/>
    <s v="64 98114-1028"/>
    <s v="Rua 10, QD 22, LT 8 Calandia Cezarina - GO  76.195-000"/>
    <s v="patriciamsousa_21@hotmail.com"/>
    <n v="7000"/>
    <n v="9"/>
    <n v="1958.13"/>
    <n v="24623.17"/>
    <s v="Boleto "/>
    <d v="2025-10-02T00:00:00"/>
    <d v="2025-01-18T00:00:00"/>
    <s v="64 98114-1028"/>
    <n v="1"/>
    <x v="0"/>
    <s v="TRÁFEGO"/>
    <s v="Enviado e recebido"/>
    <s v="Enviado"/>
    <m/>
    <x v="1"/>
    <m/>
  </r>
  <r>
    <n v="15"/>
    <s v="Ingrid Claudino Ribeiro "/>
    <s v="070.232.044-74"/>
    <s v="1 (908) 338-5055"/>
    <s v=" 300 6th st 2r  jersey city 07302"/>
    <s v="ingridusa8@gmail.com"/>
    <n v="3000"/>
    <n v="9"/>
    <n v="2274.7800000000002"/>
    <n v="23473.02"/>
    <s v="Boleto "/>
    <s v="02/20/2025"/>
    <d v="2025-02-04T00:00:00"/>
    <s v="1 (908) 338-5055"/>
    <n v="1"/>
    <x v="0"/>
    <s v="TRÁFEGO"/>
    <s v="Enviado e recebido"/>
    <s v="Enviado"/>
    <m/>
    <x v="1"/>
    <m/>
  </r>
  <r>
    <n v="16"/>
    <s v="Indira Rezende Ferreira e Souza "/>
    <s v="113.832.526-02"/>
    <s v="33 984291093"/>
    <s v="Rua cel Antônio Salim , 38 Dário grossi  Caratinga MG 35.300-010"/>
    <s v="irfsouza@hotmail.com"/>
    <n v="3000"/>
    <n v="8"/>
    <n v="2508.7399999999998"/>
    <n v="23069.919999999998"/>
    <s v="Boleto "/>
    <d v="2025-10-03T00:00:00"/>
    <d v="2025-02-05T00:00:00"/>
    <s v="33 984291093"/>
    <n v="1"/>
    <x v="0"/>
    <s v="TRÁFEGO"/>
    <s v="Enviado "/>
    <s v="Enviado"/>
    <m/>
    <x v="1"/>
    <m/>
  </r>
  <r>
    <n v="17"/>
    <s v="Thayane Priscilla Fernandes "/>
    <s v="010.233.631-86"/>
    <s v="+1 (732) 621-6290"/>
    <s v=" Rua 10 chácara 157 casa 05 condomínio Jardim Vitória, Brasília/DF"/>
    <s v="inoveseller@outlook.com"/>
    <n v="3000"/>
    <n v="8"/>
    <n v="2473.59"/>
    <n v="22788.720000000001"/>
    <s v="Boleto "/>
    <d v="2025-10-03T00:00:00"/>
    <d v="2025-02-14T00:00:00"/>
    <s v="+1 (732) 621-6290"/>
    <n v="1"/>
    <x v="1"/>
    <s v="TRÁFEGO"/>
    <s v="Enviado e recebido"/>
    <s v="Enviado"/>
    <m/>
    <x v="1"/>
    <m/>
  </r>
  <r>
    <n v="18"/>
    <s v="ELIZIANE CASSIANO OLIVEIRA"/>
    <s v="081.584.709-20"/>
    <n v="41996380098"/>
    <s v=" Rua Alberto Torres 271 Fazendinha Curitiba  81330-330"/>
    <s v="draelizianeoliveira@gmail.com"/>
    <n v="3000"/>
    <n v="8"/>
    <n v="2443.4699999999998"/>
    <n v="22547.759999999998"/>
    <s v="Boleto "/>
    <d v="2025-10-03T00:00:00"/>
    <d v="2025-02-20T00:00:00"/>
    <n v="41996380098"/>
    <n v="1"/>
    <x v="0"/>
    <s v="TRÁFEGO"/>
    <s v="Enviado e recebido"/>
    <s v="Enviado"/>
    <m/>
    <x v="1"/>
    <m/>
  </r>
  <r>
    <n v="19"/>
    <s v="Letícia Maria Meneses"/>
    <s v="026.619.081-29"/>
    <n v="62984380182"/>
    <s v="Rua 246 qd 7 Lt 23 Recanto Verde  Ceres 76300-000"/>
    <s v="titiciameneses@gmail.com"/>
    <n v="3000"/>
    <n v="6"/>
    <n v="2836.66"/>
    <n v="20519.96"/>
    <s v="Boleto "/>
    <d v="2025-04-10T00:00:00"/>
    <d v="2025-02-21T00:00:00"/>
    <n v="62984380182"/>
    <n v="1"/>
    <x v="0"/>
    <s v="TRÁFEGO"/>
    <s v="Enviado e recebido"/>
    <s v="Enviado"/>
    <m/>
    <x v="1"/>
    <s v="Não conseguiu visto "/>
  </r>
  <r>
    <n v="20"/>
    <s v="Andréia Cristina Berti"/>
    <s v="178.434.428-12"/>
    <n v="11962293347"/>
    <s v="Rua Antônio Joaquim dos Santos, 106  Centro Alto Ribeirão Pires  09420-440"/>
    <s v="andreia-berti@uol.com.br"/>
    <n v="3000"/>
    <n v="7"/>
    <n v="2759.32"/>
    <n v="22315.24"/>
    <s v="Boleto "/>
    <d v="2025-10-03T00:00:00"/>
    <d v="2025-02-22T00:00:00"/>
    <n v="11962293347"/>
    <n v="1"/>
    <x v="0"/>
    <s v="Indicação Daniela Moleiro"/>
    <s v="Enviado"/>
    <s v="Enviado"/>
    <m/>
    <x v="1"/>
    <m/>
  </r>
  <r>
    <n v="21"/>
    <s v="Walquiria Reis "/>
    <s v="282.454.888-60"/>
    <s v="+1 (267) 624-5455"/>
    <s v=" 3414 Saint Vincent Street, Northeast Philadelphia, Philadelphia - PA  19149"/>
    <s v="walquiriarb@hotmail.com"/>
    <n v="3000"/>
    <n v="7"/>
    <s v="$     2.974,77"/>
    <n v="21888"/>
    <s v="Boleto "/>
    <d v="2025-10-04T00:00:00"/>
    <d v="2025-03-15T00:00:00"/>
    <s v="+1 (267) 624-5455"/>
    <n v="2"/>
    <x v="1"/>
    <s v="TRÁFEGO"/>
    <s v="Enviado"/>
    <s v="Enviado"/>
    <m/>
    <x v="1"/>
    <m/>
  </r>
  <r>
    <n v="22"/>
    <s v="Ederlucia Martins de Oliveira"/>
    <s v="061696716 02"/>
    <s v=" 33 98871-0854"/>
    <s v="38 George Street   Dambury CT 06810"/>
    <s v="dudinhagv2@hotmail.com"/>
    <n v="10000"/>
    <n v="7"/>
    <s v="$    1.848,37"/>
    <n v="22938.59"/>
    <s v="Boleto "/>
    <d v="2025-10-04T00:00:00"/>
    <d v="2025-03-17T00:00:00"/>
    <s v=" 33 98871-0854"/>
    <n v="2"/>
    <x v="1"/>
    <s v="TRÁFEGO"/>
    <s v="Enviado"/>
    <s v="Enviado"/>
    <m/>
    <x v="1"/>
    <m/>
  </r>
  <r>
    <n v="23"/>
    <s v="Francieny Corrêa de Andrade TURMA 1"/>
    <s v="097.051.276-70"/>
    <s v="34 99332-0612"/>
    <s v="Rua Coronel João Candido de Aguiar, nº 383, Centro, Patrocínio/MG"/>
    <s v="francienyandrade@outlook.com"/>
    <n v="18340.32"/>
    <n v="1"/>
    <n v="659.58"/>
    <n v="19000"/>
    <s v="Boleto "/>
    <s v="20/04/2025"/>
    <m/>
    <s v="34 99332-0612"/>
    <s v="-"/>
    <x v="1"/>
    <s v="-"/>
    <s v="Enviado"/>
    <s v="Enviado"/>
    <m/>
    <x v="1"/>
    <s v="Aluna da 1ª turma - condição especial: matrícula por R$ 19.000,00 e utilização do crédito de R$ 18.340,32"/>
  </r>
  <r>
    <n v="24"/>
    <s v=" Carla Gaines"/>
    <s v="349.208.078-21"/>
    <s v="1 (973) 558-7256"/>
    <s v="6809 Via Locanda,  Las Vegas, Nevada, 89132"/>
    <s v="Carlacrivillarij@gmail.com"/>
    <n v="3000"/>
    <n v="6"/>
    <s v="2x 3.000 4x  3.622,98"/>
    <s v="R$         23491.92"/>
    <s v="Boleto "/>
    <d v="2025-10-04T00:00:00"/>
    <d v="2025-03-27T00:00:00"/>
    <s v="1 (973) 558-7256"/>
    <n v="2"/>
    <x v="0"/>
    <s v="TRÁFEGO"/>
    <s v="Enviado"/>
    <s v="Enviado"/>
    <m/>
    <x v="1"/>
    <m/>
  </r>
  <r>
    <n v="25"/>
    <s v="Camila César de Lacerda "/>
    <s v="061.983.974-08"/>
    <s v="1 (647) 460-4546"/>
    <s v="957 porcupine avenue , Mississauga , Mississauga, Canada,  L5H3K6"/>
    <s v="camilacesar@yahoo.com"/>
    <n v="3000"/>
    <n v="6"/>
    <n v="3422.22"/>
    <s v="R$         23533.32"/>
    <s v="Boleto "/>
    <d v="2025-10-04T00:00:00"/>
    <d v="2025-03-31T00:00:00"/>
    <s v="1 (647) 460-4546"/>
    <n v="2"/>
    <x v="0"/>
    <s v="TRÁFEGO"/>
    <s v="Enviado e recebido"/>
    <s v="Enviado"/>
    <m/>
    <x v="1"/>
    <m/>
  </r>
  <r>
    <n v="26"/>
    <s v="Therry Hansen Jardim"/>
    <s v="009.808.400-31"/>
    <s v="51 9820-5259"/>
    <s v="Rua Léo Kraether, 713, Condomínio Serra Azul, Alameda Serra da Estrela, 89"/>
    <s v="therryhj@gmail.com"/>
    <n v="5000"/>
    <n v="6"/>
    <n v="3141.9"/>
    <s v="23,851,40"/>
    <s v="Boleto "/>
    <d v="2025-10-05T00:00:00"/>
    <d v="2025-04-14T00:00:00"/>
    <s v="51 9820-5259"/>
    <n v="2"/>
    <x v="1"/>
    <s v="TRÁFEGO"/>
    <s v="Enviado e recebido"/>
    <s v="Enviado"/>
    <m/>
    <x v="1"/>
    <m/>
  </r>
  <r>
    <n v="27"/>
    <s v="Elisa Daniele bairros Machado"/>
    <s v="017.636.420-03"/>
    <s v=" 51 9364-3965"/>
    <s v="Avenida do arvoredo 177 casa 4, Condomínio Quinta das Corticeiras, Bairro Santa Cruz, Cep: 94170314"/>
    <s v=" elisambiomedica@gmail.com"/>
    <n v="5000"/>
    <n v="6"/>
    <n v="3052.22"/>
    <s v="R$         23313.32"/>
    <s v="Boleto "/>
    <d v="2025-05-10T00:00:00"/>
    <d v="2025-04-15T00:00:00"/>
    <s v=" 51 9364-3965"/>
    <n v="2"/>
    <x v="0"/>
    <s v="TRÁFEGO"/>
    <s v="Enviado e recebido"/>
    <s v="Enviado"/>
    <m/>
    <x v="1"/>
    <m/>
  </r>
  <r>
    <n v="28"/>
    <s v="Maria Aparecida de Souza"/>
    <s v="056.733.576-30"/>
    <s v="1 (860) 876-5013"/>
    <s v="Boston Post Rod, Westbrook, Estados Unidos, 064981624"/>
    <s v="matheusdacida@yahoo.com"/>
    <n v="3000"/>
    <n v="6"/>
    <n v="3415.32"/>
    <s v="R$         23491.92"/>
    <s v="Boleto "/>
    <d v="2025-05-10T00:00:00"/>
    <d v="2025-04-23T00:00:00"/>
    <s v="1 (860) 876-5013"/>
    <n v="2"/>
    <x v="0"/>
    <s v="TRÁFEGO"/>
    <s v="Enviado"/>
    <s v="Enviado"/>
    <m/>
    <x v="1"/>
    <m/>
  </r>
  <r>
    <n v="29"/>
    <s v="Letícia Faria Santos "/>
    <n v="12342265611"/>
    <s v="1(848)8449049 "/>
    <s v=" 298 Westwood Ave, apartment 407, Long Branch NJ, CEP: 07740"/>
    <s v="lelefariaa@outlook.com"/>
    <n v="3000"/>
    <n v="6"/>
    <n v="3300"/>
    <s v="R$         22800"/>
    <s v="Boleto "/>
    <d v="2025-05-10T00:00:00"/>
    <d v="2025-04-30T00:00:00"/>
    <s v="1(848)8449049 "/>
    <n v="2"/>
    <x v="0"/>
    <s v="TRÁFEGO"/>
    <s v="Enviado"/>
    <s v="Enviado"/>
    <m/>
    <x v="1"/>
    <m/>
  </r>
  <r>
    <n v="30"/>
    <s v="Carla Cristina Rezende"/>
    <s v="011.891.562-29"/>
    <s v=" 69 9341-7117"/>
    <s v="avenida josé vieira caúla, 3321  Brairro Embratel, 76820799  - Porto velho - RO"/>
    <s v="carlarezendefisio@gmail.com"/>
    <n v="3000"/>
    <n v="1"/>
    <n v="3000"/>
    <s v="R$         26528.28"/>
    <s v="Em 12x no Cartão"/>
    <s v="10/Setembro"/>
    <s v="10/Setembro"/>
    <s v=" 69 9341-7117"/>
    <n v="2"/>
    <x v="1"/>
    <s v="TRÁFEGO"/>
    <s v="Cartão de credito"/>
    <s v="Enviado"/>
    <m/>
    <x v="1"/>
    <s v="Mediante negociação aluna ficou de pagar o valor restante do curso em setembro dia 10 e que vai decidir no dia se será no cartão em 12x ou a vista"/>
  </r>
  <r>
    <n v="31"/>
    <s v=" Isis Vieira Lima "/>
    <s v="046.040.065-71"/>
    <s v="71 9169-0380"/>
    <s v="alphaville litoral norte 1 Casa A1 lote 12, Abrantes , Camacari , CEP: 42821871"/>
    <s v="draisisvieira@gmail.com"/>
    <n v="12000"/>
    <n v="5"/>
    <n v="1951.2"/>
    <s v="R$         21756"/>
    <s v="Boleto "/>
    <d v="2025-06-10T00:00:00"/>
    <d v="2025-05-30T00:00:00"/>
    <s v="71 9169-0380"/>
    <n v="2"/>
    <x v="0"/>
    <s v="TRÁFEGO"/>
    <s v="Enviado e recebido"/>
    <m/>
    <m/>
    <x v="1"/>
    <m/>
  </r>
  <r>
    <n v="32"/>
    <s v=" Brenda Midori de Souza Niyama"/>
    <s v="391.051.438-37"/>
    <s v="11 96373-1995"/>
    <s v="Rua Dona Germaine Burchard, 499,  Agua Branca , São Paulo  , CEP 05002-062"/>
    <s v="brendaniyama@gmail.com"/>
    <n v="3000"/>
    <n v="4"/>
    <s v="$    4.939,96"/>
    <s v="R$         22.759,84"/>
    <s v="Boleto "/>
    <d v="2025-07-10T00:00:00"/>
    <d v="2025-06-04T00:00:00"/>
    <s v="11 96373-1995"/>
    <n v="2"/>
    <x v="1"/>
    <s v="TRÁFEGO"/>
    <s v="Enviado "/>
    <s v="Enviado"/>
    <m/>
    <x v="1"/>
    <m/>
  </r>
  <r>
    <n v="33"/>
    <s v="Mayara Barbosa Ferreira Campos"/>
    <s v="016.722.511-17"/>
    <s v="1 (854) 832-9511"/>
    <s v="569 Spanish Wells rd Summerville - SC EUA 29486"/>
    <s v="mayabf@hotmail.com"/>
    <n v="3000"/>
    <n v="4"/>
    <n v="4721.8999999999996"/>
    <s v="R$         21887,6"/>
    <s v="Boleto "/>
    <d v="2025-09-10T00:00:00"/>
    <d v="2025-08-10T00:00:00"/>
    <s v="1 (854) 832-9511"/>
    <n v="2"/>
    <x v="0"/>
    <s v="TRÁFEGO"/>
    <s v="Enviado"/>
    <m/>
    <m/>
    <x v="1"/>
    <m/>
  </r>
  <r>
    <n v="34"/>
    <s v="Jessika Sales Ribeiro "/>
    <s v="110.218.206-01"/>
    <s v="34 99291-5800"/>
    <s v="Alameda ficus 137, Bosque dos buritis, Uberlândia, Minas Gerais  38406566"/>
    <s v="jessikasrn@gmail.com"/>
    <n v="4000"/>
    <n v="1"/>
    <s v="10.000,00"/>
    <s v="R$         14000"/>
    <s v="Avista"/>
    <d v="2025-08-08T00:00:00"/>
    <d v="2025-08-05T00:00:00"/>
    <s v="34 99291-5800"/>
    <n v="1"/>
    <x v="0"/>
    <s v="TRÁFEGO"/>
    <s v="PAGO A VISTA"/>
    <s v="Enviado"/>
    <m/>
    <x v="1"/>
    <m/>
  </r>
  <r>
    <n v="35"/>
    <s v="Gisele Matsubara Carneiro"/>
    <s v="021.716.671-76"/>
    <s v="65 996885379"/>
    <s v="Rua santa Isabel 55, Bairro jardim santa Marta, Cuiabá Mt"/>
    <s v="Gi.matsubara@icloud.com"/>
    <n v="2000"/>
    <n v="4"/>
    <n v="4670.01"/>
    <s v="R$         20680"/>
    <s v="Boleto "/>
    <d v="2025-09-10T00:00:00"/>
    <d v="2025-08-10T00:00:00"/>
    <s v="65 996885379"/>
    <n v="1"/>
    <x v="0"/>
    <s v="TRÁFEGO"/>
    <s v="Enviado 27/08"/>
    <s v="Enviado"/>
    <m/>
    <x v="1"/>
    <m/>
  </r>
  <r>
    <n v="36"/>
    <s v="Gabriele Regina Rebelatto"/>
    <s v="019.806.620-10"/>
    <s v="51 9130-6565"/>
    <s v="João Theobaldo Dapper, 164, Vale Verde, dois irmãos RS"/>
    <s v="Rebelattogr@live.com"/>
    <n v="500"/>
    <n v="1"/>
    <s v="$                   18.976,36"/>
    <s v="R$                       19.476,36"/>
    <s v="PIX"/>
    <d v="2025-07-04T00:00:00"/>
    <d v="2025-07-04T00:00:00"/>
    <s v="51 99130-6565"/>
    <n v="1"/>
    <x v="2"/>
    <s v="SACHA"/>
    <s v="PAGO A VISTA"/>
    <s v="Enviado"/>
    <m/>
    <x v="1"/>
    <s v="NEGOCIACAO LIBERADA MAURICIO"/>
  </r>
  <r>
    <n v="37"/>
    <s v="Caruline Mendes Gobi"/>
    <s v="045.053.271-24"/>
    <n v="18434995083"/>
    <s v="217 William St, Summerville 29487 Charleston - Carolina Do Sul Estados Unidos"/>
    <s v="carulinegobi95@gmail.com"/>
    <n v="3000"/>
    <n v="4"/>
    <s v="4.280,84"/>
    <s v="R$         20123.36"/>
    <s v="Boleto "/>
    <d v="2025-09-10T00:00:00"/>
    <d v="2025-08-20T00:00:00"/>
    <s v="+1 (843) 499-5083"/>
    <n v="1"/>
    <x v="0"/>
    <s v="TRÁFEGO"/>
    <s v="Enviado 27/08"/>
    <s v="Enviado"/>
    <m/>
    <x v="1"/>
    <m/>
  </r>
  <r>
    <n v="38"/>
    <s v="Daniele Bussolin"/>
    <s v="083480207-48"/>
    <s v="51 99252-2421"/>
    <s v="Av central 1881/203 A - Atlântida - Xangrila - RS - Cep 95588-000"/>
    <s v="danielecorleto@gmail.com"/>
    <n v="3000"/>
    <s v="Cartão"/>
    <n v="16500"/>
    <s v="R$         19500"/>
    <s v="PIX / Cartão de Cretido "/>
    <m/>
    <s v="25/08"/>
    <s v="51 99252-2421"/>
    <n v="1"/>
    <x v="0"/>
    <s v="CAROL"/>
    <s v="Cartão de credito"/>
    <s v="Enviado"/>
    <m/>
    <x v="1"/>
    <m/>
  </r>
  <r>
    <n v="39"/>
    <s v="Marcia da Silva "/>
    <n v="80348718004"/>
    <s v="51 99251-8660"/>
    <s v="7 Oklahoma avenue  - Montville  - New Jersey  - 07045 - USA"/>
    <s v="Enfermeira.Tatiana07@gmail.com"/>
    <n v="3000"/>
    <s v="Cartão"/>
    <n v="16500"/>
    <s v="R$         19500"/>
    <s v="PIX / Cartão de Cretido "/>
    <m/>
    <s v="26/08"/>
    <s v="51 99251-8660"/>
    <n v="1"/>
    <x v="1"/>
    <s v="TRÁFEGO"/>
    <s v="Cartão de credito"/>
    <s v="Enviado"/>
    <m/>
    <x v="1"/>
    <m/>
  </r>
  <r>
    <n v="40"/>
    <s v="Rosikelly de Sousa Almeida "/>
    <n v="88456714291"/>
    <s v="94 991248165"/>
    <s v="Avenida Mato grosso n 39 - Capuava 1 - Redenção  -  68552-630"/>
    <s v="kelly_rosi@hotmail.com"/>
    <n v="3000"/>
    <n v="4"/>
    <n v="4146"/>
    <s v="R$         19584"/>
    <s v="Boleto "/>
    <d v="2025-09-10T00:00:00"/>
    <s v="27/08"/>
    <s v="94 9124-8165"/>
    <n v="1"/>
    <x v="1"/>
    <s v="EVENTO CONTOX"/>
    <s v="Enviado"/>
    <m/>
    <m/>
    <x v="1"/>
    <m/>
  </r>
  <r>
    <n v="41"/>
    <s v="Carina Mendes "/>
    <s v="059.595.809-50"/>
    <n v="15085988209"/>
    <s v="16 Merlin St -  Framingham-Massachussets - codigo postal 01701"/>
    <s v=" dra.carinamendes@gmail.com"/>
    <n v="3000"/>
    <n v="4"/>
    <n v="4380"/>
    <s v="R$         20520"/>
    <s v="Boleto "/>
    <d v="2025-09-10T00:00:00"/>
    <s v="27/08"/>
    <s v="+1 5085988209"/>
    <n v="2"/>
    <x v="1"/>
    <s v="TRÁFEGO"/>
    <s v="Enviado e recebido"/>
    <s v="Enviado"/>
    <m/>
    <x v="1"/>
    <m/>
  </r>
  <r>
    <n v="42"/>
    <s v="Thaís Cardoso Palácios "/>
    <s v="406.431.278-36"/>
    <s v="+1 (321) 831-2017"/>
    <s v=" 2424 Grand Central Pkwy unit 2 - Orlando - FL"/>
    <s v="thais_palacios@hotmail.com"/>
    <n v="3000"/>
    <n v="4"/>
    <n v="4412.58"/>
    <s v="R$         20650.32"/>
    <s v="Boleto "/>
    <d v="2025-09-20T00:00:00"/>
    <s v="29/08"/>
    <s v="+1 (321) 831-2017"/>
    <n v="2"/>
    <x v="0"/>
    <s v="TRÁFEGO"/>
    <s v="Enviado"/>
    <s v="Enviado"/>
    <m/>
    <x v="1"/>
    <m/>
  </r>
  <r>
    <n v="43"/>
    <s v="Leandra Teixeira de Almeida Mendes da Silva "/>
    <s v="090.361.257-74"/>
    <s v="21 99238-7724"/>
    <s v="Av César morani 500 bl 9 apt 303  Recreio dos bandeirantes  22790795"/>
    <s v="Leandra.tam@gmail.com"/>
    <n v="2000"/>
    <n v="4"/>
    <n v="4884.8"/>
    <s v="R$         21539.2"/>
    <s v="Boleto "/>
    <d v="2025-09-10T00:00:00"/>
    <d v="2025-09-05T00:00:00"/>
    <s v="21 99238-7724"/>
    <n v="2"/>
    <x v="0"/>
    <s v="TRÁFEGO"/>
    <s v="Enviado"/>
    <s v="Enviado"/>
    <m/>
    <x v="1"/>
    <m/>
  </r>
  <r>
    <n v="44"/>
    <s v="João Henrique Pinheiro Sousa "/>
    <s v="726.833.251-34"/>
    <s v="77 98167-7371"/>
    <s v="Rua don Sebastião Tomaz número 322 bairro canudinho cep 68540-000. Conceição do arraguaia- Para."/>
    <s v="Johnnyme2015@gmail.com"/>
    <n v="2000"/>
    <n v="1"/>
    <n v="17952"/>
    <s v="R$            19952"/>
    <s v="TED BTG"/>
    <m/>
    <d v="2025-09-08T00:00:00"/>
    <s v="77 8167-7371"/>
    <n v="2"/>
    <x v="0"/>
    <s v="TRÁFEGO"/>
    <s v="-"/>
    <m/>
    <m/>
    <x v="3"/>
    <s v="Cancelado no prazo de 7 dias"/>
  </r>
  <r>
    <n v="45"/>
    <s v="Katrina de Souza Vasques "/>
    <n v="93143354100"/>
    <n v="67998237709"/>
    <s v="Endereço: rua perpétua 115 casa 3  Cep:79032202"/>
    <s v="katrinavasques@yahoo.com.br"/>
    <n v="3000"/>
    <n v="3"/>
    <n v="5956.55"/>
    <s v="R$            20.869,65"/>
    <s v="Boleto "/>
    <d v="2025-10-10T00:00:00"/>
    <d v="2025-09-16T00:00:00"/>
    <n v="67998237709"/>
    <n v="2"/>
    <x v="0"/>
    <m/>
    <s v="Enviado e recebido"/>
    <s v="Enviado"/>
    <m/>
    <x v="1"/>
    <m/>
  </r>
  <r>
    <n v="46"/>
    <s v="Cristina Frassetti Jodjahn e Sousa"/>
    <s v="054685297-18"/>
    <s v="+1 (832) 892-2260"/>
    <s v="33000 Falcon Landing Blvd #7103  77494 Katy "/>
    <s v="cristinafra7@gmail.com"/>
    <n v="5000"/>
    <n v="4"/>
    <s v="$                           3.918,14"/>
    <s v="R$            20.672,56"/>
    <s v="Boleto "/>
    <d v="2025-10-10T00:00:00"/>
    <d v="2025-09-17T00:00:00"/>
    <s v="+1 (832) 892-2260"/>
    <n v="2"/>
    <x v="1"/>
    <s v="TRÁFEGO"/>
    <s v="Enviado e recebido"/>
    <s v="Enviado"/>
    <m/>
    <x v="1"/>
    <m/>
  </r>
  <r>
    <n v="47"/>
    <s v="Mariana Katy Boykin "/>
    <n v="39216834838"/>
    <s v="+1 (407) 506-8730"/>
    <s v="421 Cabello Drive Davenport  Florida 33837"/>
    <s v="Marianakaty.assuncao1@gmail.com "/>
    <n v="20102"/>
    <n v="0"/>
    <n v="0"/>
    <s v="R$            20.102"/>
    <s v="PIX"/>
    <m/>
    <d v="2025-09-20T00:00:00"/>
    <s v="+1 (407) 506-8730"/>
    <n v="2"/>
    <x v="1"/>
    <s v="TRÁFEGO"/>
    <s v="-"/>
    <s v="Enviado"/>
    <m/>
    <x v="1"/>
    <m/>
  </r>
  <r>
    <n v="48"/>
    <s v="Amanda Priscilla da Cunha"/>
    <s v="022.369.019-84"/>
    <s v="+1 (631) 355-5144"/>
    <s v="160 Terry Road - Smithtown NY 11787"/>
    <s v="greenportholding@gmail.com"/>
    <n v="3000"/>
    <n v="4"/>
    <s v="$                           4.437,02"/>
    <s v="R$            20.748"/>
    <s v="Boleto "/>
    <d v="2025-09-24T00:00:00"/>
    <d v="2025-09-20T00:00:00"/>
    <s v="+1 (631) 355-5144"/>
    <n v="2"/>
    <x v="1"/>
    <s v="TRÁFEGO"/>
    <s v="Enviado e recebido"/>
    <s v="Enviado"/>
    <m/>
    <x v="1"/>
    <m/>
  </r>
  <r>
    <n v="49"/>
    <s v="Marcilene Lopes de Souza "/>
    <s v="087.479.317-36"/>
    <s v="+1 941 4126469"/>
    <s v="Endereço: 1847 Highland Rd Osprey Fl."/>
    <s v=" marcilenelopessouza@gmail.com"/>
    <n v="3800"/>
    <s v="-"/>
    <s v="-"/>
    <s v="3800 Dolares "/>
    <s v="Cartão de credito Hubla"/>
    <s v="-"/>
    <s v="27/09"/>
    <s v="+1 941 4126469"/>
    <n v="1"/>
    <x v="0"/>
    <s v="TRÁFEGO"/>
    <s v="-"/>
    <s v="Enviado"/>
    <m/>
    <x v="1"/>
    <m/>
  </r>
  <r>
    <n v="50"/>
    <s v="Maristella Gabriela "/>
    <s v="413 817 798 16"/>
    <s v="+1 F50:F51"/>
    <s v="Avenida Manoel dos Santos Braga 55 03807320"/>
    <s v=" mgds1991@icloud.com"/>
    <n v="20000"/>
    <s v="-"/>
    <s v="-"/>
    <n v="20000"/>
    <s v="Cartão de Credito kwfi"/>
    <s v="-"/>
    <s v="13/10"/>
    <s v="+1 203 800 1434"/>
    <n v="2"/>
    <x v="0"/>
    <s v="Indicação "/>
    <s v="-"/>
    <m/>
    <m/>
    <x v="4"/>
    <m/>
  </r>
  <r>
    <m/>
    <m/>
    <m/>
    <m/>
    <m/>
    <m/>
    <m/>
    <m/>
    <m/>
    <m/>
    <m/>
    <m/>
    <m/>
    <m/>
    <m/>
    <x v="3"/>
    <m/>
    <m/>
    <m/>
    <m/>
    <x v="4"/>
    <m/>
  </r>
  <r>
    <m/>
    <m/>
    <m/>
    <m/>
    <m/>
    <m/>
    <m/>
    <m/>
    <m/>
    <m/>
    <m/>
    <m/>
    <m/>
    <m/>
    <m/>
    <x v="3"/>
    <m/>
    <m/>
    <m/>
    <m/>
    <x v="4"/>
    <m/>
  </r>
  <r>
    <m/>
    <m/>
    <m/>
    <m/>
    <m/>
    <m/>
    <m/>
    <m/>
    <m/>
    <m/>
    <m/>
    <m/>
    <m/>
    <m/>
    <m/>
    <x v="3"/>
    <m/>
    <m/>
    <m/>
    <m/>
    <x v="4"/>
    <m/>
  </r>
  <r>
    <m/>
    <m/>
    <m/>
    <m/>
    <m/>
    <m/>
    <m/>
    <m/>
    <m/>
    <m/>
    <m/>
    <m/>
    <m/>
    <m/>
    <m/>
    <x v="3"/>
    <m/>
    <m/>
    <m/>
    <m/>
    <x v="4"/>
    <m/>
  </r>
  <r>
    <m/>
    <m/>
    <m/>
    <m/>
    <m/>
    <m/>
    <m/>
    <m/>
    <m/>
    <m/>
    <m/>
    <m/>
    <m/>
    <m/>
    <m/>
    <x v="3"/>
    <m/>
    <m/>
    <m/>
    <m/>
    <x v="4"/>
    <m/>
  </r>
  <r>
    <m/>
    <m/>
    <m/>
    <m/>
    <m/>
    <m/>
    <m/>
    <m/>
    <m/>
    <m/>
    <m/>
    <m/>
    <m/>
    <m/>
    <m/>
    <x v="3"/>
    <m/>
    <m/>
    <m/>
    <m/>
    <x v="4"/>
    <m/>
  </r>
  <r>
    <m/>
    <m/>
    <m/>
    <m/>
    <m/>
    <m/>
    <m/>
    <m/>
    <m/>
    <m/>
    <m/>
    <m/>
    <m/>
    <m/>
    <m/>
    <x v="3"/>
    <m/>
    <m/>
    <m/>
    <m/>
    <x v="4"/>
    <m/>
  </r>
  <r>
    <m/>
    <m/>
    <m/>
    <m/>
    <m/>
    <m/>
    <m/>
    <m/>
    <m/>
    <m/>
    <m/>
    <m/>
    <m/>
    <m/>
    <m/>
    <x v="3"/>
    <m/>
    <m/>
    <m/>
    <m/>
    <x v="4"/>
    <m/>
  </r>
  <r>
    <m/>
    <m/>
    <m/>
    <m/>
    <m/>
    <m/>
    <m/>
    <m/>
    <m/>
    <m/>
    <m/>
    <m/>
    <m/>
    <m/>
    <m/>
    <x v="3"/>
    <m/>
    <m/>
    <m/>
    <m/>
    <x v="4"/>
    <m/>
  </r>
  <r>
    <m/>
    <m/>
    <m/>
    <m/>
    <m/>
    <m/>
    <m/>
    <m/>
    <m/>
    <m/>
    <m/>
    <m/>
    <m/>
    <m/>
    <m/>
    <x v="3"/>
    <m/>
    <m/>
    <m/>
    <m/>
    <x v="4"/>
    <m/>
  </r>
  <r>
    <m/>
    <m/>
    <m/>
    <m/>
    <m/>
    <m/>
    <m/>
    <m/>
    <m/>
    <m/>
    <m/>
    <m/>
    <m/>
    <m/>
    <m/>
    <x v="3"/>
    <m/>
    <m/>
    <m/>
    <m/>
    <x v="4"/>
    <m/>
  </r>
  <r>
    <m/>
    <m/>
    <m/>
    <m/>
    <m/>
    <m/>
    <m/>
    <m/>
    <m/>
    <m/>
    <m/>
    <m/>
    <m/>
    <m/>
    <m/>
    <x v="3"/>
    <m/>
    <m/>
    <m/>
    <m/>
    <x v="4"/>
    <m/>
  </r>
  <r>
    <m/>
    <m/>
    <m/>
    <m/>
    <m/>
    <m/>
    <m/>
    <m/>
    <m/>
    <m/>
    <m/>
    <m/>
    <m/>
    <m/>
    <m/>
    <x v="3"/>
    <m/>
    <m/>
    <m/>
    <m/>
    <x v="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B14182-5AA4-4B49-A8D9-15D9E77E74D1}" name="Tabela dinâmica1" cacheId="19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C14" firstHeaderRow="1" firstDataRow="1" firstDataCol="2"/>
  <pivotFields count="22"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h="1" m="1" x="5"/>
        <item x="1"/>
        <item x="0"/>
        <item x="2"/>
        <item h="1" x="3"/>
        <item m="1"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m="1" x="5"/>
        <item x="1"/>
        <item x="3"/>
        <item x="2"/>
        <item x="0"/>
        <item x="4"/>
        <item t="default"/>
      </items>
    </pivotField>
    <pivotField compact="0" outline="0" showAll="0"/>
  </pivotFields>
  <rowFields count="2">
    <field x="15"/>
    <field x="20"/>
  </rowFields>
  <rowItems count="11">
    <i>
      <x v="1"/>
      <x v="1"/>
    </i>
    <i t="default">
      <x v="1"/>
    </i>
    <i>
      <x v="2"/>
      <x v="1"/>
    </i>
    <i r="1">
      <x v="2"/>
    </i>
    <i r="1">
      <x v="3"/>
    </i>
    <i r="1">
      <x v="4"/>
    </i>
    <i r="1">
      <x v="5"/>
    </i>
    <i t="default">
      <x v="2"/>
    </i>
    <i>
      <x v="3"/>
      <x v="1"/>
    </i>
    <i t="default">
      <x v="3"/>
    </i>
    <i t="grand">
      <x/>
    </i>
  </rowItems>
  <colItems count="1">
    <i/>
  </colItems>
  <dataFields count="1">
    <dataField name="QUANT DE MATRICULA" fld="1" subtotal="count" baseField="0" baseItem="0"/>
  </dataFields>
  <formats count="2">
    <format dxfId="0">
      <pivotArea outline="0" collapsedLevelsAreSubtotals="1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slimesteticabr@gmail.com" TargetMode="External"/><Relationship Id="rId18" Type="http://schemas.openxmlformats.org/officeDocument/2006/relationships/hyperlink" Target="mailto:draelizianeoliveira@gmail.com" TargetMode="External"/><Relationship Id="rId26" Type="http://schemas.openxmlformats.org/officeDocument/2006/relationships/hyperlink" Target="mailto:therryhj@gmail.com" TargetMode="External"/><Relationship Id="rId39" Type="http://schemas.openxmlformats.org/officeDocument/2006/relationships/hyperlink" Target="mailto:kelly_rosi@hotmail.com" TargetMode="External"/><Relationship Id="rId21" Type="http://schemas.openxmlformats.org/officeDocument/2006/relationships/hyperlink" Target="mailto:walquiriarb@hotmail.com" TargetMode="External"/><Relationship Id="rId34" Type="http://schemas.openxmlformats.org/officeDocument/2006/relationships/hyperlink" Target="mailto:Gi.matsubara@icloud.com" TargetMode="External"/><Relationship Id="rId42" Type="http://schemas.openxmlformats.org/officeDocument/2006/relationships/hyperlink" Target="mailto:katrinavasques@yahoo.com.br" TargetMode="External"/><Relationship Id="rId7" Type="http://schemas.openxmlformats.org/officeDocument/2006/relationships/hyperlink" Target="mailto:catiele.lb@gmail.com" TargetMode="External"/><Relationship Id="rId2" Type="http://schemas.openxmlformats.org/officeDocument/2006/relationships/hyperlink" Target="mailto:priscyllacesarba@gmail.com" TargetMode="External"/><Relationship Id="rId16" Type="http://schemas.openxmlformats.org/officeDocument/2006/relationships/hyperlink" Target="mailto:inoveseller@outlook.com" TargetMode="External"/><Relationship Id="rId29" Type="http://schemas.openxmlformats.org/officeDocument/2006/relationships/hyperlink" Target="mailto:carlarezendefisio@gmail.com" TargetMode="External"/><Relationship Id="rId1" Type="http://schemas.openxmlformats.org/officeDocument/2006/relationships/hyperlink" Target="mailto:thaisolimpia@outlook.com" TargetMode="External"/><Relationship Id="rId6" Type="http://schemas.openxmlformats.org/officeDocument/2006/relationships/hyperlink" Target="mailto:katiavieirads@hotmail.com" TargetMode="External"/><Relationship Id="rId11" Type="http://schemas.openxmlformats.org/officeDocument/2006/relationships/hyperlink" Target="mailto:angelameyda@gmail.com" TargetMode="External"/><Relationship Id="rId24" Type="http://schemas.openxmlformats.org/officeDocument/2006/relationships/hyperlink" Target="mailto:Carlacrivillarij@gmail.com" TargetMode="External"/><Relationship Id="rId32" Type="http://schemas.openxmlformats.org/officeDocument/2006/relationships/hyperlink" Target="mailto:mayabf@hotmail.com" TargetMode="External"/><Relationship Id="rId37" Type="http://schemas.openxmlformats.org/officeDocument/2006/relationships/hyperlink" Target="mailto:danielecorleto@gmail.com" TargetMode="External"/><Relationship Id="rId40" Type="http://schemas.openxmlformats.org/officeDocument/2006/relationships/hyperlink" Target="mailto:thais_palacios@hotmail.com" TargetMode="External"/><Relationship Id="rId45" Type="http://schemas.openxmlformats.org/officeDocument/2006/relationships/hyperlink" Target="mailto:greenportholding@gmail.com" TargetMode="External"/><Relationship Id="rId5" Type="http://schemas.openxmlformats.org/officeDocument/2006/relationships/hyperlink" Target="mailto:relatoriodiariominas@gmail.com" TargetMode="External"/><Relationship Id="rId15" Type="http://schemas.openxmlformats.org/officeDocument/2006/relationships/hyperlink" Target="mailto:ingridusa8@gmail.com" TargetMode="External"/><Relationship Id="rId23" Type="http://schemas.openxmlformats.org/officeDocument/2006/relationships/hyperlink" Target="mailto:francienyandrade@outlook.com" TargetMode="External"/><Relationship Id="rId28" Type="http://schemas.openxmlformats.org/officeDocument/2006/relationships/hyperlink" Target="mailto:lelefariaa@outlook.com" TargetMode="External"/><Relationship Id="rId36" Type="http://schemas.openxmlformats.org/officeDocument/2006/relationships/hyperlink" Target="mailto:carulinegobi95@gmail.com" TargetMode="External"/><Relationship Id="rId10" Type="http://schemas.openxmlformats.org/officeDocument/2006/relationships/hyperlink" Target="mailto:Lorranaribeiroaguiar@gmail.com" TargetMode="External"/><Relationship Id="rId19" Type="http://schemas.openxmlformats.org/officeDocument/2006/relationships/hyperlink" Target="mailto:titiciameneses@gmail.com" TargetMode="External"/><Relationship Id="rId31" Type="http://schemas.openxmlformats.org/officeDocument/2006/relationships/hyperlink" Target="mailto:brendaniyama@gmail.com" TargetMode="External"/><Relationship Id="rId44" Type="http://schemas.openxmlformats.org/officeDocument/2006/relationships/hyperlink" Target="mailto:Marianakaty.assuncao1@gmail.com" TargetMode="External"/><Relationship Id="rId4" Type="http://schemas.openxmlformats.org/officeDocument/2006/relationships/hyperlink" Target="mailto:fernandaberlato04@gmail.com" TargetMode="External"/><Relationship Id="rId9" Type="http://schemas.openxmlformats.org/officeDocument/2006/relationships/hyperlink" Target="mailto:thyara.souza@hotmail.com" TargetMode="External"/><Relationship Id="rId14" Type="http://schemas.openxmlformats.org/officeDocument/2006/relationships/hyperlink" Target="mailto:patriciamsousa_21@hotmail.com" TargetMode="External"/><Relationship Id="rId22" Type="http://schemas.openxmlformats.org/officeDocument/2006/relationships/hyperlink" Target="mailto:dudinhagv2@hotmail.com" TargetMode="External"/><Relationship Id="rId27" Type="http://schemas.openxmlformats.org/officeDocument/2006/relationships/hyperlink" Target="mailto:matheusdacida@yahoo.com" TargetMode="External"/><Relationship Id="rId30" Type="http://schemas.openxmlformats.org/officeDocument/2006/relationships/hyperlink" Target="mailto:draisisvieira@gmail.com" TargetMode="External"/><Relationship Id="rId35" Type="http://schemas.openxmlformats.org/officeDocument/2006/relationships/hyperlink" Target="mailto:Rebelattogr@live.com" TargetMode="External"/><Relationship Id="rId43" Type="http://schemas.openxmlformats.org/officeDocument/2006/relationships/hyperlink" Target="mailto:cristinafra7@gmail.com" TargetMode="External"/><Relationship Id="rId8" Type="http://schemas.openxmlformats.org/officeDocument/2006/relationships/hyperlink" Target="mailto:flaviaalvesfisio@gmail.com" TargetMode="External"/><Relationship Id="rId3" Type="http://schemas.openxmlformats.org/officeDocument/2006/relationships/hyperlink" Target="mailto:jessicadalgallop@gmail.com" TargetMode="External"/><Relationship Id="rId12" Type="http://schemas.openxmlformats.org/officeDocument/2006/relationships/hyperlink" Target="mailto:andressaquadros@gmail.com" TargetMode="External"/><Relationship Id="rId17" Type="http://schemas.openxmlformats.org/officeDocument/2006/relationships/hyperlink" Target="mailto:irfsouza@hotmail.com" TargetMode="External"/><Relationship Id="rId25" Type="http://schemas.openxmlformats.org/officeDocument/2006/relationships/hyperlink" Target="mailto:camilacesar@yahoo.com" TargetMode="External"/><Relationship Id="rId33" Type="http://schemas.openxmlformats.org/officeDocument/2006/relationships/hyperlink" Target="mailto:jessikasrn@gmail.com" TargetMode="External"/><Relationship Id="rId38" Type="http://schemas.openxmlformats.org/officeDocument/2006/relationships/hyperlink" Target="mailto:Enfermeira.Tatiana07@gmail.com" TargetMode="External"/><Relationship Id="rId46" Type="http://schemas.openxmlformats.org/officeDocument/2006/relationships/printerSettings" Target="../printerSettings/printerSettings1.bin"/><Relationship Id="rId20" Type="http://schemas.openxmlformats.org/officeDocument/2006/relationships/hyperlink" Target="mailto:andreia-berti@uol.com.br" TargetMode="External"/><Relationship Id="rId41" Type="http://schemas.openxmlformats.org/officeDocument/2006/relationships/hyperlink" Target="mailto:Johnnyme2015@gmai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contactotatianemoraees@gmail.com" TargetMode="External"/><Relationship Id="rId1" Type="http://schemas.openxmlformats.org/officeDocument/2006/relationships/hyperlink" Target="mailto:fernandaberlato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CFC1-AA13-4CEA-B5D5-649797977EED}">
  <dimension ref="A3:C22"/>
  <sheetViews>
    <sheetView workbookViewId="0">
      <selection activeCell="G14" sqref="G14"/>
    </sheetView>
  </sheetViews>
  <sheetFormatPr defaultRowHeight="15"/>
  <cols>
    <col min="1" max="1" width="15.140625" bestFit="1" customWidth="1"/>
    <col min="2" max="2" width="24.85546875" style="7" bestFit="1" customWidth="1"/>
    <col min="3" max="3" width="20.7109375" bestFit="1" customWidth="1"/>
    <col min="4" max="4" width="8.5703125" bestFit="1" customWidth="1"/>
    <col min="5" max="5" width="6" bestFit="1" customWidth="1"/>
    <col min="6" max="6" width="6.7109375" bestFit="1" customWidth="1"/>
    <col min="7" max="8" width="10.42578125" bestFit="1" customWidth="1"/>
  </cols>
  <sheetData>
    <row r="3" spans="1:3">
      <c r="A3" s="59" t="s">
        <v>0</v>
      </c>
      <c r="B3" s="59" t="s">
        <v>1</v>
      </c>
      <c r="C3" s="7" t="s">
        <v>2</v>
      </c>
    </row>
    <row r="4" spans="1:3">
      <c r="A4" t="s">
        <v>3</v>
      </c>
      <c r="B4" t="s">
        <v>4</v>
      </c>
      <c r="C4" s="60">
        <v>14</v>
      </c>
    </row>
    <row r="5" spans="1:3">
      <c r="A5" t="s">
        <v>5</v>
      </c>
      <c r="B5"/>
      <c r="C5" s="60">
        <v>14</v>
      </c>
    </row>
    <row r="6" spans="1:3">
      <c r="A6" t="s">
        <v>6</v>
      </c>
      <c r="B6" t="s">
        <v>4</v>
      </c>
      <c r="C6" s="60">
        <v>31</v>
      </c>
    </row>
    <row r="7" spans="1:3">
      <c r="B7" t="s">
        <v>7</v>
      </c>
      <c r="C7" s="60">
        <v>1</v>
      </c>
    </row>
    <row r="8" spans="1:3">
      <c r="B8" t="s">
        <v>8</v>
      </c>
      <c r="C8" s="60">
        <v>1</v>
      </c>
    </row>
    <row r="9" spans="1:3">
      <c r="B9" t="s">
        <v>9</v>
      </c>
      <c r="C9" s="60">
        <v>1</v>
      </c>
    </row>
    <row r="10" spans="1:3">
      <c r="B10" t="s">
        <v>10</v>
      </c>
      <c r="C10" s="60">
        <v>1</v>
      </c>
    </row>
    <row r="11" spans="1:3">
      <c r="A11" t="s">
        <v>11</v>
      </c>
      <c r="B11"/>
      <c r="C11" s="60">
        <v>35</v>
      </c>
    </row>
    <row r="12" spans="1:3">
      <c r="A12" t="s">
        <v>12</v>
      </c>
      <c r="B12" t="s">
        <v>4</v>
      </c>
      <c r="C12" s="60">
        <v>1</v>
      </c>
    </row>
    <row r="13" spans="1:3">
      <c r="A13" t="s">
        <v>13</v>
      </c>
      <c r="B13"/>
      <c r="C13" s="60">
        <v>1</v>
      </c>
    </row>
    <row r="14" spans="1:3">
      <c r="A14" t="s">
        <v>14</v>
      </c>
      <c r="B14"/>
      <c r="C14" s="60">
        <v>50</v>
      </c>
    </row>
    <row r="15" spans="1:3">
      <c r="B15"/>
    </row>
    <row r="16" spans="1:3">
      <c r="B16"/>
    </row>
    <row r="17" spans="2:2">
      <c r="B17"/>
    </row>
    <row r="18" spans="2:2">
      <c r="B18"/>
    </row>
    <row r="19" spans="2:2">
      <c r="B19"/>
    </row>
    <row r="20" spans="2:2">
      <c r="B20"/>
    </row>
    <row r="21" spans="2:2">
      <c r="B21"/>
    </row>
    <row r="22" spans="2:2">
      <c r="B2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0D809-508A-4FCB-B280-D28389B0B21D}">
  <sheetPr filterMode="1"/>
  <dimension ref="A1:P61"/>
  <sheetViews>
    <sheetView workbookViewId="0">
      <pane ySplit="1" topLeftCell="A2" activePane="bottomLeft" state="frozen"/>
      <selection pane="bottomLeft" activeCell="I11" sqref="A11:I12"/>
    </sheetView>
  </sheetViews>
  <sheetFormatPr defaultColWidth="8.85546875" defaultRowHeight="20.25"/>
  <cols>
    <col min="1" max="1" width="8.85546875" style="3"/>
    <col min="2" max="2" width="59.42578125" style="3" bestFit="1" customWidth="1"/>
    <col min="3" max="3" width="22.28515625" style="4" bestFit="1" customWidth="1"/>
    <col min="4" max="4" width="13.140625" style="3" customWidth="1"/>
    <col min="5" max="5" width="16.85546875" style="4" bestFit="1" customWidth="1"/>
    <col min="6" max="6" width="18.7109375" style="3" bestFit="1" customWidth="1"/>
    <col min="7" max="7" width="26.28515625" style="3" customWidth="1"/>
    <col min="8" max="8" width="19" style="3" bestFit="1" customWidth="1"/>
    <col min="9" max="9" width="19.7109375" style="3" bestFit="1" customWidth="1"/>
    <col min="10" max="10" width="7.42578125" style="3" bestFit="1" customWidth="1"/>
    <col min="11" max="11" width="28.42578125" style="3" bestFit="1" customWidth="1"/>
    <col min="12" max="12" width="16.28515625" style="3" bestFit="1" customWidth="1"/>
    <col min="13" max="13" width="15.7109375" style="3" bestFit="1" customWidth="1"/>
    <col min="14" max="14" width="22" style="3" bestFit="1" customWidth="1"/>
    <col min="15" max="15" width="52.85546875" style="3" bestFit="1" customWidth="1"/>
    <col min="16" max="16" width="167.28515625" style="3" bestFit="1" customWidth="1"/>
    <col min="17" max="16384" width="8.85546875" style="3"/>
  </cols>
  <sheetData>
    <row r="1" spans="1:15">
      <c r="A1" s="3" t="s">
        <v>15</v>
      </c>
      <c r="B1" s="1" t="s">
        <v>16</v>
      </c>
      <c r="C1" s="2" t="s">
        <v>17</v>
      </c>
      <c r="D1" s="1" t="s">
        <v>18</v>
      </c>
      <c r="E1" s="2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1</v>
      </c>
    </row>
    <row r="2" spans="1:15">
      <c r="A2" s="3">
        <v>1</v>
      </c>
      <c r="B2" s="3" t="s">
        <v>28</v>
      </c>
      <c r="C2" s="4">
        <v>5000</v>
      </c>
      <c r="D2" s="3">
        <v>4</v>
      </c>
      <c r="F2" s="5">
        <f t="shared" ref="F2:F22" si="0">(E2*D2)+C2</f>
        <v>5000</v>
      </c>
      <c r="G2" s="3" t="s">
        <v>29</v>
      </c>
      <c r="H2" s="6">
        <v>45436</v>
      </c>
      <c r="I2" s="3" t="s">
        <v>30</v>
      </c>
      <c r="J2" s="3">
        <v>2</v>
      </c>
      <c r="K2" s="3" t="s">
        <v>31</v>
      </c>
      <c r="L2" s="3" t="s">
        <v>32</v>
      </c>
      <c r="M2" s="3" t="s">
        <v>32</v>
      </c>
      <c r="N2" s="3" t="s">
        <v>33</v>
      </c>
    </row>
    <row r="3" spans="1:15">
      <c r="A3" s="3">
        <v>2</v>
      </c>
      <c r="B3" s="3" t="s">
        <v>34</v>
      </c>
      <c r="C3" s="4">
        <v>2292.54</v>
      </c>
      <c r="F3" s="5">
        <f t="shared" si="0"/>
        <v>2292.54</v>
      </c>
      <c r="G3" s="3" t="s">
        <v>35</v>
      </c>
      <c r="I3" s="3" t="s">
        <v>36</v>
      </c>
      <c r="J3" s="3">
        <v>1</v>
      </c>
      <c r="K3" s="3" t="s">
        <v>37</v>
      </c>
      <c r="L3" s="3" t="s">
        <v>32</v>
      </c>
      <c r="M3" s="3" t="s">
        <v>38</v>
      </c>
      <c r="N3" s="3" t="s">
        <v>33</v>
      </c>
    </row>
    <row r="4" spans="1:15">
      <c r="A4" s="3">
        <v>3</v>
      </c>
      <c r="B4" s="3" t="s">
        <v>39</v>
      </c>
      <c r="C4" s="4">
        <v>3000</v>
      </c>
      <c r="F4" s="5">
        <f t="shared" si="0"/>
        <v>3000</v>
      </c>
      <c r="G4" s="3" t="s">
        <v>40</v>
      </c>
      <c r="I4" s="3" t="s">
        <v>41</v>
      </c>
      <c r="J4" s="3">
        <v>2</v>
      </c>
      <c r="K4" s="3" t="s">
        <v>42</v>
      </c>
      <c r="L4" s="3" t="s">
        <v>32</v>
      </c>
      <c r="M4" s="3" t="s">
        <v>32</v>
      </c>
      <c r="N4" s="3" t="s">
        <v>33</v>
      </c>
    </row>
    <row r="5" spans="1:15">
      <c r="A5" s="3">
        <v>4</v>
      </c>
      <c r="B5" s="3" t="s">
        <v>43</v>
      </c>
      <c r="C5" s="4">
        <v>8000</v>
      </c>
      <c r="D5" s="3">
        <v>1</v>
      </c>
      <c r="E5" s="4">
        <v>10000</v>
      </c>
      <c r="F5" s="5">
        <f t="shared" si="0"/>
        <v>18000</v>
      </c>
      <c r="G5" s="3" t="s">
        <v>44</v>
      </c>
      <c r="H5" s="6">
        <v>45480</v>
      </c>
      <c r="I5" s="3" t="s">
        <v>45</v>
      </c>
      <c r="J5" s="3">
        <v>3</v>
      </c>
      <c r="K5" s="3" t="s">
        <v>46</v>
      </c>
      <c r="L5" s="3" t="s">
        <v>32</v>
      </c>
      <c r="M5" s="3" t="s">
        <v>32</v>
      </c>
      <c r="N5" s="3" t="s">
        <v>33</v>
      </c>
      <c r="O5" s="6">
        <v>45486</v>
      </c>
    </row>
    <row r="6" spans="1:15">
      <c r="A6" s="3">
        <v>5</v>
      </c>
      <c r="B6" s="3" t="s">
        <v>47</v>
      </c>
      <c r="C6" s="4">
        <v>4500</v>
      </c>
      <c r="D6" s="3">
        <v>3</v>
      </c>
      <c r="E6" s="4">
        <v>3675</v>
      </c>
      <c r="F6" s="5">
        <f t="shared" si="0"/>
        <v>15525</v>
      </c>
      <c r="G6" s="3" t="s">
        <v>48</v>
      </c>
      <c r="H6" s="6">
        <v>45464</v>
      </c>
      <c r="I6" s="3" t="s">
        <v>49</v>
      </c>
      <c r="J6" s="3">
        <v>1</v>
      </c>
      <c r="K6" s="3" t="s">
        <v>50</v>
      </c>
      <c r="L6" s="3" t="s">
        <v>32</v>
      </c>
      <c r="M6" s="3" t="s">
        <v>38</v>
      </c>
      <c r="N6" s="3" t="s">
        <v>33</v>
      </c>
    </row>
    <row r="7" spans="1:15" s="14" customFormat="1">
      <c r="A7" s="14">
        <v>6</v>
      </c>
      <c r="B7" s="14" t="s">
        <v>51</v>
      </c>
      <c r="C7" s="15">
        <v>15000</v>
      </c>
      <c r="E7" s="15"/>
      <c r="F7" s="16">
        <f t="shared" si="0"/>
        <v>15000</v>
      </c>
      <c r="G7" s="14" t="s">
        <v>52</v>
      </c>
      <c r="I7" s="14" t="s">
        <v>53</v>
      </c>
      <c r="J7" s="14">
        <v>1</v>
      </c>
      <c r="K7" s="14" t="s">
        <v>54</v>
      </c>
      <c r="L7" s="14" t="s">
        <v>32</v>
      </c>
      <c r="M7" s="14" t="s">
        <v>32</v>
      </c>
      <c r="N7" s="14" t="s">
        <v>33</v>
      </c>
    </row>
    <row r="8" spans="1:15">
      <c r="A8" s="3">
        <v>7</v>
      </c>
      <c r="B8" s="3" t="s">
        <v>55</v>
      </c>
      <c r="C8" s="4">
        <v>1000</v>
      </c>
      <c r="D8" s="3">
        <v>12</v>
      </c>
      <c r="F8" s="5">
        <f t="shared" si="0"/>
        <v>1000</v>
      </c>
      <c r="G8" s="3" t="s">
        <v>56</v>
      </c>
      <c r="H8" s="6">
        <v>45422</v>
      </c>
      <c r="I8" s="3" t="s">
        <v>57</v>
      </c>
      <c r="J8" s="3">
        <v>2</v>
      </c>
      <c r="K8" s="3" t="s">
        <v>46</v>
      </c>
      <c r="L8" s="3" t="s">
        <v>32</v>
      </c>
      <c r="M8" s="3" t="s">
        <v>32</v>
      </c>
      <c r="N8" s="3" t="s">
        <v>33</v>
      </c>
    </row>
    <row r="9" spans="1:15">
      <c r="A9" s="3">
        <v>8</v>
      </c>
      <c r="B9" s="3" t="s">
        <v>58</v>
      </c>
      <c r="C9" s="4">
        <v>1000</v>
      </c>
      <c r="D9" s="3">
        <v>5</v>
      </c>
      <c r="F9" s="5">
        <f t="shared" si="0"/>
        <v>1000</v>
      </c>
      <c r="G9" s="3" t="s">
        <v>59</v>
      </c>
      <c r="I9" s="3" t="s">
        <v>60</v>
      </c>
      <c r="J9" s="3">
        <v>2</v>
      </c>
      <c r="K9" s="3" t="s">
        <v>46</v>
      </c>
      <c r="L9" s="3" t="s">
        <v>32</v>
      </c>
      <c r="M9" s="3" t="s">
        <v>38</v>
      </c>
      <c r="N9" s="3" t="s">
        <v>33</v>
      </c>
    </row>
    <row r="10" spans="1:15">
      <c r="A10" s="3">
        <v>9</v>
      </c>
      <c r="B10" s="3" t="s">
        <v>61</v>
      </c>
      <c r="C10" s="4">
        <v>17500</v>
      </c>
      <c r="F10" s="5">
        <f t="shared" si="0"/>
        <v>17500</v>
      </c>
      <c r="G10" s="3" t="s">
        <v>35</v>
      </c>
      <c r="I10" s="3">
        <v>17744944491</v>
      </c>
      <c r="J10" s="3">
        <v>2</v>
      </c>
      <c r="K10" s="3" t="s">
        <v>46</v>
      </c>
      <c r="L10" s="3" t="s">
        <v>62</v>
      </c>
      <c r="M10" s="3" t="s">
        <v>62</v>
      </c>
      <c r="N10" s="3" t="s">
        <v>63</v>
      </c>
    </row>
    <row r="11" spans="1:15">
      <c r="A11" s="3">
        <v>10</v>
      </c>
      <c r="B11" s="3" t="s">
        <v>64</v>
      </c>
      <c r="C11" s="4">
        <v>3000</v>
      </c>
      <c r="D11" s="3">
        <v>5</v>
      </c>
      <c r="E11" s="4">
        <v>3277.85</v>
      </c>
      <c r="F11" s="5">
        <f t="shared" si="0"/>
        <v>19389.25</v>
      </c>
      <c r="G11" s="3" t="s">
        <v>65</v>
      </c>
      <c r="H11" s="6">
        <v>45541</v>
      </c>
      <c r="I11" s="3">
        <v>51996926883</v>
      </c>
      <c r="J11" s="3">
        <v>3</v>
      </c>
      <c r="K11" s="3" t="s">
        <v>66</v>
      </c>
      <c r="L11" s="3" t="s">
        <v>32</v>
      </c>
      <c r="M11" s="3" t="s">
        <v>38</v>
      </c>
      <c r="N11" s="3" t="s">
        <v>33</v>
      </c>
    </row>
    <row r="12" spans="1:15" s="14" customFormat="1">
      <c r="A12" s="14">
        <v>11</v>
      </c>
      <c r="B12" s="14" t="s">
        <v>67</v>
      </c>
      <c r="C12" s="15">
        <v>18000</v>
      </c>
      <c r="E12" s="15"/>
      <c r="F12" s="16">
        <f t="shared" si="0"/>
        <v>18000</v>
      </c>
      <c r="H12" s="17">
        <v>45534</v>
      </c>
      <c r="I12" s="14" t="s">
        <v>68</v>
      </c>
      <c r="J12" s="14">
        <v>3</v>
      </c>
      <c r="K12" s="14" t="s">
        <v>69</v>
      </c>
      <c r="L12" s="14" t="s">
        <v>32</v>
      </c>
      <c r="M12" s="14" t="s">
        <v>38</v>
      </c>
      <c r="N12" s="14" t="s">
        <v>33</v>
      </c>
    </row>
    <row r="13" spans="1:15">
      <c r="A13" s="3">
        <v>12</v>
      </c>
      <c r="B13" s="3" t="s">
        <v>70</v>
      </c>
      <c r="C13" s="4">
        <v>2415.3200000000002</v>
      </c>
      <c r="F13" s="5">
        <f t="shared" si="0"/>
        <v>2415.3200000000002</v>
      </c>
      <c r="G13" s="3" t="s">
        <v>35</v>
      </c>
      <c r="I13" s="3" t="s">
        <v>71</v>
      </c>
      <c r="J13" s="3">
        <v>2</v>
      </c>
      <c r="K13" s="3" t="s">
        <v>54</v>
      </c>
      <c r="L13" s="3" t="s">
        <v>32</v>
      </c>
      <c r="M13" s="3" t="s">
        <v>32</v>
      </c>
      <c r="N13" s="3" t="s">
        <v>33</v>
      </c>
    </row>
    <row r="14" spans="1:15">
      <c r="A14" s="3">
        <v>13</v>
      </c>
      <c r="B14" s="3" t="s">
        <v>72</v>
      </c>
      <c r="C14" s="4">
        <v>1000</v>
      </c>
      <c r="F14" s="5">
        <f t="shared" si="0"/>
        <v>1000</v>
      </c>
      <c r="G14" s="3" t="s">
        <v>35</v>
      </c>
      <c r="I14" s="3" t="s">
        <v>73</v>
      </c>
      <c r="J14" s="3">
        <v>2</v>
      </c>
      <c r="K14" s="3" t="s">
        <v>74</v>
      </c>
      <c r="L14" s="3" t="s">
        <v>32</v>
      </c>
      <c r="M14" s="3" t="s">
        <v>32</v>
      </c>
      <c r="N14" s="3" t="s">
        <v>33</v>
      </c>
    </row>
    <row r="15" spans="1:15">
      <c r="A15" s="3">
        <v>14</v>
      </c>
      <c r="B15" s="3" t="s">
        <v>75</v>
      </c>
      <c r="C15" s="4">
        <v>5000</v>
      </c>
      <c r="F15" s="5">
        <f t="shared" si="0"/>
        <v>5000</v>
      </c>
      <c r="G15" s="3" t="s">
        <v>76</v>
      </c>
      <c r="I15" s="3" t="s">
        <v>77</v>
      </c>
      <c r="J15" s="3">
        <v>2</v>
      </c>
      <c r="K15" s="3" t="s">
        <v>46</v>
      </c>
      <c r="L15" s="3" t="s">
        <v>32</v>
      </c>
      <c r="M15" s="3" t="s">
        <v>32</v>
      </c>
      <c r="N15" s="3" t="s">
        <v>63</v>
      </c>
    </row>
    <row r="16" spans="1:15">
      <c r="A16" s="3">
        <v>15</v>
      </c>
      <c r="B16" s="3" t="s">
        <v>78</v>
      </c>
      <c r="C16" s="4">
        <v>15000</v>
      </c>
      <c r="F16" s="5">
        <f t="shared" si="0"/>
        <v>15000</v>
      </c>
      <c r="G16" s="3" t="s">
        <v>76</v>
      </c>
      <c r="I16" s="3" t="s">
        <v>79</v>
      </c>
      <c r="J16" s="3">
        <v>1</v>
      </c>
      <c r="K16" s="3" t="s">
        <v>80</v>
      </c>
      <c r="L16" s="3" t="s">
        <v>32</v>
      </c>
      <c r="M16" s="3" t="s">
        <v>32</v>
      </c>
      <c r="N16" s="3" t="s">
        <v>33</v>
      </c>
    </row>
    <row r="17" spans="1:15">
      <c r="A17" s="3">
        <v>16</v>
      </c>
      <c r="B17" s="3" t="s">
        <v>81</v>
      </c>
      <c r="C17" s="4">
        <v>17500</v>
      </c>
      <c r="F17" s="5">
        <f t="shared" si="0"/>
        <v>17500</v>
      </c>
      <c r="G17" s="3" t="s">
        <v>35</v>
      </c>
      <c r="I17" s="3">
        <v>61994629938</v>
      </c>
      <c r="J17" s="3">
        <v>2</v>
      </c>
      <c r="K17" s="3" t="s">
        <v>82</v>
      </c>
      <c r="L17" s="3" t="s">
        <v>32</v>
      </c>
      <c r="M17" s="3" t="s">
        <v>32</v>
      </c>
      <c r="N17" s="3" t="s">
        <v>33</v>
      </c>
    </row>
    <row r="18" spans="1:15">
      <c r="A18" s="3">
        <v>17</v>
      </c>
      <c r="B18" s="3" t="s">
        <v>83</v>
      </c>
      <c r="C18" s="4">
        <v>2292.54</v>
      </c>
      <c r="F18" s="5">
        <f t="shared" si="0"/>
        <v>2292.54</v>
      </c>
      <c r="G18" s="3" t="s">
        <v>35</v>
      </c>
      <c r="I18" s="3" t="s">
        <v>84</v>
      </c>
      <c r="J18" s="3">
        <v>1</v>
      </c>
      <c r="K18" s="3" t="s">
        <v>80</v>
      </c>
      <c r="L18" s="3" t="s">
        <v>32</v>
      </c>
      <c r="M18" s="3" t="s">
        <v>62</v>
      </c>
      <c r="N18" s="3" t="s">
        <v>63</v>
      </c>
    </row>
    <row r="19" spans="1:15" s="14" customFormat="1">
      <c r="A19" s="14">
        <v>18</v>
      </c>
      <c r="B19" s="14" t="s">
        <v>85</v>
      </c>
      <c r="C19" s="15">
        <v>15000</v>
      </c>
      <c r="E19" s="15"/>
      <c r="F19" s="16">
        <f t="shared" si="0"/>
        <v>15000</v>
      </c>
      <c r="G19" s="14" t="s">
        <v>86</v>
      </c>
      <c r="I19" s="14" t="s">
        <v>87</v>
      </c>
      <c r="J19" s="14">
        <v>1</v>
      </c>
      <c r="K19" s="14" t="s">
        <v>54</v>
      </c>
      <c r="L19" s="14" t="s">
        <v>32</v>
      </c>
      <c r="M19" s="14" t="s">
        <v>32</v>
      </c>
      <c r="N19" s="14" t="s">
        <v>33</v>
      </c>
    </row>
    <row r="20" spans="1:15" s="14" customFormat="1">
      <c r="A20" s="14">
        <v>19</v>
      </c>
      <c r="B20" s="14" t="s">
        <v>88</v>
      </c>
      <c r="C20" s="15">
        <v>15000</v>
      </c>
      <c r="E20" s="15"/>
      <c r="F20" s="16">
        <f t="shared" si="0"/>
        <v>15000</v>
      </c>
      <c r="G20" s="14" t="s">
        <v>76</v>
      </c>
      <c r="I20" s="14" t="s">
        <v>89</v>
      </c>
      <c r="J20" s="14">
        <v>1</v>
      </c>
      <c r="K20" s="14" t="s">
        <v>90</v>
      </c>
      <c r="L20" s="14" t="s">
        <v>32</v>
      </c>
      <c r="M20" s="14" t="s">
        <v>32</v>
      </c>
      <c r="N20" s="14" t="s">
        <v>33</v>
      </c>
    </row>
    <row r="21" spans="1:15">
      <c r="A21" s="3">
        <v>20</v>
      </c>
      <c r="B21" s="3" t="s">
        <v>91</v>
      </c>
      <c r="C21" s="4">
        <v>3000</v>
      </c>
      <c r="D21" s="3">
        <v>3</v>
      </c>
      <c r="E21" s="4">
        <v>5000</v>
      </c>
      <c r="F21" s="5">
        <f t="shared" si="0"/>
        <v>18000</v>
      </c>
      <c r="G21" s="3" t="s">
        <v>92</v>
      </c>
      <c r="H21" s="6">
        <v>45500</v>
      </c>
      <c r="I21" s="3" t="s">
        <v>93</v>
      </c>
      <c r="J21" s="3">
        <v>3</v>
      </c>
      <c r="K21" s="3" t="s">
        <v>46</v>
      </c>
      <c r="L21" s="3" t="s">
        <v>32</v>
      </c>
      <c r="M21" s="3" t="s">
        <v>38</v>
      </c>
      <c r="N21" s="3" t="s">
        <v>33</v>
      </c>
      <c r="O21" s="3" t="s">
        <v>94</v>
      </c>
    </row>
    <row r="22" spans="1:15">
      <c r="A22" s="3">
        <v>21</v>
      </c>
      <c r="B22" s="3" t="s">
        <v>95</v>
      </c>
      <c r="C22" s="4">
        <v>2292.54</v>
      </c>
      <c r="F22" s="5">
        <f t="shared" si="0"/>
        <v>2292.54</v>
      </c>
      <c r="G22" s="3" t="s">
        <v>35</v>
      </c>
      <c r="I22" s="3" t="s">
        <v>96</v>
      </c>
      <c r="J22" s="3">
        <v>1</v>
      </c>
      <c r="K22" s="3" t="s">
        <v>54</v>
      </c>
      <c r="L22" s="3" t="s">
        <v>32</v>
      </c>
      <c r="M22" s="3" t="s">
        <v>32</v>
      </c>
      <c r="N22" s="3" t="s">
        <v>33</v>
      </c>
    </row>
    <row r="23" spans="1:15">
      <c r="A23" s="3">
        <v>22</v>
      </c>
      <c r="B23" s="3" t="s">
        <v>97</v>
      </c>
      <c r="C23" s="4">
        <v>1000</v>
      </c>
      <c r="F23" s="5" t="s">
        <v>98</v>
      </c>
      <c r="G23" s="3" t="s">
        <v>59</v>
      </c>
      <c r="H23" s="6">
        <v>45439</v>
      </c>
      <c r="I23" s="3" t="s">
        <v>99</v>
      </c>
      <c r="J23" s="3">
        <v>2</v>
      </c>
      <c r="K23" s="3" t="s">
        <v>100</v>
      </c>
      <c r="L23" s="3" t="s">
        <v>32</v>
      </c>
      <c r="M23" s="3" t="s">
        <v>32</v>
      </c>
      <c r="N23" s="3" t="s">
        <v>33</v>
      </c>
    </row>
    <row r="24" spans="1:15">
      <c r="A24" s="3">
        <v>23</v>
      </c>
      <c r="B24" s="3" t="s">
        <v>101</v>
      </c>
      <c r="C24" s="4">
        <v>15000</v>
      </c>
      <c r="F24" s="5">
        <f t="shared" ref="F24:F51" si="1">(E24*D24)+C24</f>
        <v>15000</v>
      </c>
      <c r="G24" s="3" t="s">
        <v>76</v>
      </c>
      <c r="I24" s="3" t="s">
        <v>102</v>
      </c>
      <c r="J24" s="3">
        <v>1</v>
      </c>
      <c r="K24" s="3" t="s">
        <v>54</v>
      </c>
      <c r="L24" s="3" t="s">
        <v>32</v>
      </c>
      <c r="M24" s="3" t="s">
        <v>32</v>
      </c>
      <c r="N24" s="3" t="s">
        <v>33</v>
      </c>
    </row>
    <row r="25" spans="1:15">
      <c r="A25" s="3">
        <v>24</v>
      </c>
      <c r="B25" s="3" t="s">
        <v>103</v>
      </c>
      <c r="C25" s="4">
        <v>17500</v>
      </c>
      <c r="F25" s="5">
        <f t="shared" si="1"/>
        <v>17500</v>
      </c>
      <c r="G25" s="3" t="s">
        <v>76</v>
      </c>
      <c r="I25" s="3" t="s">
        <v>104</v>
      </c>
      <c r="J25" s="3">
        <v>2</v>
      </c>
      <c r="K25" s="3" t="s">
        <v>46</v>
      </c>
      <c r="L25" s="3" t="s">
        <v>32</v>
      </c>
      <c r="M25" s="3" t="s">
        <v>32</v>
      </c>
      <c r="N25" s="3" t="s">
        <v>33</v>
      </c>
    </row>
    <row r="26" spans="1:15">
      <c r="A26" s="3">
        <v>25</v>
      </c>
      <c r="B26" s="3" t="s">
        <v>105</v>
      </c>
      <c r="C26" s="4">
        <v>2292.54</v>
      </c>
      <c r="F26" s="5">
        <f t="shared" si="1"/>
        <v>2292.54</v>
      </c>
      <c r="G26" s="3" t="s">
        <v>35</v>
      </c>
      <c r="I26" s="3" t="s">
        <v>106</v>
      </c>
      <c r="J26" s="3">
        <v>1</v>
      </c>
      <c r="K26" s="3" t="s">
        <v>37</v>
      </c>
      <c r="L26" s="3" t="s">
        <v>32</v>
      </c>
      <c r="M26" s="3" t="s">
        <v>32</v>
      </c>
      <c r="N26" s="3" t="s">
        <v>33</v>
      </c>
    </row>
    <row r="27" spans="1:15">
      <c r="A27" s="3">
        <v>26</v>
      </c>
      <c r="B27" s="3" t="s">
        <v>107</v>
      </c>
      <c r="C27" s="4">
        <v>15000</v>
      </c>
      <c r="F27" s="5">
        <f t="shared" si="1"/>
        <v>15000</v>
      </c>
      <c r="G27" s="3" t="s">
        <v>52</v>
      </c>
      <c r="I27" s="3" t="s">
        <v>108</v>
      </c>
      <c r="J27" s="3">
        <v>1</v>
      </c>
      <c r="K27" s="3" t="s">
        <v>80</v>
      </c>
      <c r="L27" s="3" t="s">
        <v>32</v>
      </c>
      <c r="M27" s="3" t="s">
        <v>32</v>
      </c>
      <c r="N27" s="3" t="s">
        <v>33</v>
      </c>
    </row>
    <row r="28" spans="1:15">
      <c r="A28" s="3">
        <v>27</v>
      </c>
      <c r="B28" s="3" t="s">
        <v>109</v>
      </c>
      <c r="C28" s="4">
        <v>1000</v>
      </c>
      <c r="D28" s="3">
        <v>9</v>
      </c>
      <c r="E28" s="4" t="s">
        <v>110</v>
      </c>
      <c r="F28" s="5" t="e">
        <f t="shared" si="1"/>
        <v>#VALUE!</v>
      </c>
      <c r="G28" s="3" t="s">
        <v>35</v>
      </c>
      <c r="I28" s="3" t="s">
        <v>111</v>
      </c>
      <c r="J28" s="3">
        <v>2</v>
      </c>
      <c r="K28" s="3" t="s">
        <v>112</v>
      </c>
      <c r="L28" s="3" t="s">
        <v>32</v>
      </c>
      <c r="M28" s="3" t="s">
        <v>32</v>
      </c>
      <c r="N28" s="3" t="s">
        <v>33</v>
      </c>
    </row>
    <row r="29" spans="1:15">
      <c r="A29" s="3">
        <v>28</v>
      </c>
      <c r="B29" s="3" t="s">
        <v>113</v>
      </c>
      <c r="C29" s="4">
        <v>1000</v>
      </c>
      <c r="D29" s="3">
        <v>1</v>
      </c>
      <c r="E29" s="4">
        <v>16500</v>
      </c>
      <c r="F29" s="5">
        <f t="shared" si="1"/>
        <v>17500</v>
      </c>
      <c r="G29" s="3" t="s">
        <v>76</v>
      </c>
      <c r="I29" s="3" t="s">
        <v>114</v>
      </c>
      <c r="J29" s="3">
        <v>2</v>
      </c>
      <c r="K29" s="3" t="s">
        <v>115</v>
      </c>
      <c r="L29" s="3" t="s">
        <v>32</v>
      </c>
      <c r="M29" s="3" t="s">
        <v>32</v>
      </c>
      <c r="N29" s="3" t="s">
        <v>33</v>
      </c>
    </row>
    <row r="30" spans="1:15">
      <c r="A30" s="3">
        <v>29</v>
      </c>
      <c r="B30" s="3" t="s">
        <v>116</v>
      </c>
      <c r="C30" s="4">
        <v>1000</v>
      </c>
      <c r="F30" s="5">
        <f t="shared" si="1"/>
        <v>1000</v>
      </c>
      <c r="G30" s="3" t="s">
        <v>35</v>
      </c>
      <c r="I30" s="3" t="s">
        <v>117</v>
      </c>
      <c r="J30" s="3">
        <v>2</v>
      </c>
      <c r="K30" s="3" t="s">
        <v>37</v>
      </c>
      <c r="L30" s="3" t="s">
        <v>118</v>
      </c>
      <c r="M30" s="3" t="s">
        <v>32</v>
      </c>
      <c r="N30" s="3" t="s">
        <v>33</v>
      </c>
    </row>
    <row r="31" spans="1:15">
      <c r="A31" s="3">
        <v>30</v>
      </c>
      <c r="B31" s="3" t="s">
        <v>119</v>
      </c>
      <c r="C31" s="4">
        <v>10000</v>
      </c>
      <c r="D31" s="3">
        <v>5</v>
      </c>
      <c r="F31" s="5">
        <f t="shared" si="1"/>
        <v>10000</v>
      </c>
      <c r="G31" s="3" t="s">
        <v>59</v>
      </c>
      <c r="H31" s="6">
        <v>45422</v>
      </c>
      <c r="I31" s="3" t="s">
        <v>120</v>
      </c>
      <c r="J31" s="3">
        <v>2</v>
      </c>
      <c r="K31" s="3" t="s">
        <v>54</v>
      </c>
      <c r="L31" s="3" t="s">
        <v>32</v>
      </c>
      <c r="M31" s="3" t="s">
        <v>32</v>
      </c>
      <c r="N31" s="3" t="s">
        <v>33</v>
      </c>
    </row>
    <row r="32" spans="1:15">
      <c r="A32" s="3">
        <v>31</v>
      </c>
      <c r="B32" s="3" t="s">
        <v>121</v>
      </c>
      <c r="C32" s="4">
        <v>1000</v>
      </c>
      <c r="F32" s="5">
        <f t="shared" si="1"/>
        <v>1000</v>
      </c>
      <c r="G32" s="3" t="s">
        <v>35</v>
      </c>
      <c r="I32" s="3" t="s">
        <v>122</v>
      </c>
      <c r="J32" s="3">
        <v>2</v>
      </c>
      <c r="K32" s="3" t="s">
        <v>123</v>
      </c>
      <c r="L32" s="3" t="s">
        <v>32</v>
      </c>
      <c r="M32" s="3" t="s">
        <v>62</v>
      </c>
      <c r="N32" s="3" t="s">
        <v>124</v>
      </c>
    </row>
    <row r="33" spans="1:15">
      <c r="A33" s="3">
        <v>32</v>
      </c>
      <c r="B33" s="3" t="s">
        <v>125</v>
      </c>
      <c r="C33" s="4">
        <v>3500</v>
      </c>
      <c r="D33" s="3">
        <v>4</v>
      </c>
      <c r="E33" s="4">
        <v>3500</v>
      </c>
      <c r="F33" s="5">
        <f t="shared" si="1"/>
        <v>17500</v>
      </c>
      <c r="G33" s="3" t="s">
        <v>126</v>
      </c>
      <c r="H33" s="6">
        <v>45478</v>
      </c>
      <c r="I33" s="3" t="s">
        <v>127</v>
      </c>
      <c r="J33" s="3">
        <v>2</v>
      </c>
      <c r="K33" s="3" t="s">
        <v>128</v>
      </c>
      <c r="L33" s="3" t="s">
        <v>32</v>
      </c>
      <c r="M33" s="3" t="s">
        <v>38</v>
      </c>
      <c r="N33" s="3" t="s">
        <v>33</v>
      </c>
    </row>
    <row r="34" spans="1:15">
      <c r="A34" s="3">
        <v>33</v>
      </c>
      <c r="B34" s="3" t="s">
        <v>129</v>
      </c>
      <c r="C34" s="4">
        <v>1000</v>
      </c>
      <c r="F34" s="5">
        <f t="shared" si="1"/>
        <v>1000</v>
      </c>
      <c r="G34" s="3" t="s">
        <v>35</v>
      </c>
      <c r="I34" s="3" t="s">
        <v>130</v>
      </c>
      <c r="J34" s="3">
        <v>1</v>
      </c>
      <c r="K34" s="3" t="s">
        <v>128</v>
      </c>
      <c r="L34" s="3" t="s">
        <v>32</v>
      </c>
      <c r="M34" s="3" t="s">
        <v>32</v>
      </c>
      <c r="N34" s="3" t="s">
        <v>33</v>
      </c>
    </row>
    <row r="35" spans="1:15">
      <c r="A35" s="3">
        <v>34</v>
      </c>
      <c r="B35" s="3" t="s">
        <v>131</v>
      </c>
      <c r="C35" s="4">
        <v>17500</v>
      </c>
      <c r="F35" s="5">
        <f t="shared" si="1"/>
        <v>17500</v>
      </c>
      <c r="G35" s="3" t="s">
        <v>35</v>
      </c>
      <c r="I35" s="3" t="s">
        <v>132</v>
      </c>
      <c r="J35" s="3">
        <v>2</v>
      </c>
      <c r="K35" s="3" t="s">
        <v>46</v>
      </c>
      <c r="L35" s="3" t="s">
        <v>32</v>
      </c>
      <c r="M35" s="3" t="s">
        <v>32</v>
      </c>
      <c r="N35" s="3" t="s">
        <v>33</v>
      </c>
    </row>
    <row r="36" spans="1:15">
      <c r="A36" s="3">
        <v>35</v>
      </c>
      <c r="B36" s="3" t="s">
        <v>133</v>
      </c>
      <c r="C36" s="4">
        <v>1000</v>
      </c>
      <c r="F36" s="5">
        <f t="shared" si="1"/>
        <v>1000</v>
      </c>
      <c r="G36" s="3" t="s">
        <v>35</v>
      </c>
      <c r="I36" s="3" t="s">
        <v>134</v>
      </c>
      <c r="J36" s="3">
        <v>2</v>
      </c>
      <c r="K36" s="3" t="s">
        <v>135</v>
      </c>
      <c r="L36" s="3" t="s">
        <v>32</v>
      </c>
      <c r="M36" s="3" t="s">
        <v>32</v>
      </c>
      <c r="N36" s="3" t="s">
        <v>33</v>
      </c>
    </row>
    <row r="37" spans="1:15">
      <c r="A37" s="3">
        <v>36</v>
      </c>
      <c r="B37" s="3" t="s">
        <v>136</v>
      </c>
      <c r="C37" s="4">
        <v>15000</v>
      </c>
      <c r="F37" s="5">
        <f t="shared" si="1"/>
        <v>15000</v>
      </c>
      <c r="G37" s="3" t="s">
        <v>76</v>
      </c>
      <c r="I37" s="3" t="s">
        <v>137</v>
      </c>
      <c r="J37" s="3">
        <v>1</v>
      </c>
      <c r="K37" s="3" t="s">
        <v>80</v>
      </c>
      <c r="L37" s="3" t="s">
        <v>32</v>
      </c>
      <c r="M37" s="3" t="s">
        <v>32</v>
      </c>
      <c r="N37" s="3" t="s">
        <v>33</v>
      </c>
    </row>
    <row r="38" spans="1:15">
      <c r="A38" s="3">
        <v>37</v>
      </c>
      <c r="B38" s="3" t="s">
        <v>138</v>
      </c>
      <c r="C38" s="4">
        <v>17000</v>
      </c>
      <c r="F38" s="5">
        <f t="shared" si="1"/>
        <v>17000</v>
      </c>
      <c r="G38" s="3" t="s">
        <v>76</v>
      </c>
      <c r="I38" s="3" t="s">
        <v>139</v>
      </c>
      <c r="J38" s="3">
        <v>2</v>
      </c>
      <c r="K38" s="3" t="s">
        <v>123</v>
      </c>
      <c r="L38" s="3" t="s">
        <v>118</v>
      </c>
      <c r="M38" s="3" t="s">
        <v>62</v>
      </c>
      <c r="N38" s="3" t="s">
        <v>124</v>
      </c>
    </row>
    <row r="39" spans="1:15">
      <c r="A39" s="3">
        <v>38</v>
      </c>
      <c r="B39" s="3" t="s">
        <v>140</v>
      </c>
      <c r="C39" s="4">
        <v>1000</v>
      </c>
      <c r="F39" s="5">
        <f t="shared" si="1"/>
        <v>1000</v>
      </c>
      <c r="G39" s="3" t="s">
        <v>35</v>
      </c>
      <c r="I39" s="3" t="s">
        <v>141</v>
      </c>
      <c r="J39" s="3">
        <v>2</v>
      </c>
      <c r="K39" s="3" t="s">
        <v>115</v>
      </c>
      <c r="L39" s="3" t="s">
        <v>62</v>
      </c>
      <c r="M39" s="3" t="s">
        <v>62</v>
      </c>
      <c r="N39" s="3" t="s">
        <v>63</v>
      </c>
    </row>
    <row r="40" spans="1:15">
      <c r="A40" s="3">
        <v>39</v>
      </c>
      <c r="B40" s="3" t="s">
        <v>142</v>
      </c>
      <c r="C40" s="4">
        <v>8750</v>
      </c>
      <c r="D40" s="3">
        <v>2</v>
      </c>
      <c r="E40" s="4">
        <v>4250</v>
      </c>
      <c r="F40" s="5">
        <f t="shared" si="1"/>
        <v>17250</v>
      </c>
      <c r="G40" s="3" t="s">
        <v>143</v>
      </c>
      <c r="H40" s="6">
        <v>45461</v>
      </c>
      <c r="I40" s="3" t="s">
        <v>144</v>
      </c>
      <c r="J40" s="3">
        <v>2</v>
      </c>
      <c r="K40" s="3" t="s">
        <v>46</v>
      </c>
      <c r="L40" s="3" t="s">
        <v>32</v>
      </c>
      <c r="M40" s="3" t="s">
        <v>32</v>
      </c>
      <c r="N40" s="3" t="s">
        <v>33</v>
      </c>
      <c r="O40" s="6">
        <v>45545</v>
      </c>
    </row>
    <row r="41" spans="1:15">
      <c r="A41" s="3">
        <v>40</v>
      </c>
      <c r="B41" s="3" t="s">
        <v>145</v>
      </c>
      <c r="C41" s="4">
        <v>3000</v>
      </c>
      <c r="D41" s="3">
        <v>5</v>
      </c>
      <c r="E41" s="4">
        <v>3277.85</v>
      </c>
      <c r="F41" s="5">
        <f t="shared" si="1"/>
        <v>19389.25</v>
      </c>
      <c r="G41" s="3" t="s">
        <v>65</v>
      </c>
      <c r="H41" s="6">
        <v>45520</v>
      </c>
      <c r="I41" s="3" t="s">
        <v>146</v>
      </c>
      <c r="J41" s="3">
        <v>3</v>
      </c>
      <c r="K41" s="3" t="s">
        <v>147</v>
      </c>
      <c r="L41" s="3" t="s">
        <v>32</v>
      </c>
      <c r="M41" s="3" t="s">
        <v>38</v>
      </c>
      <c r="N41" s="3" t="s">
        <v>33</v>
      </c>
    </row>
    <row r="42" spans="1:15">
      <c r="A42" s="3">
        <v>41</v>
      </c>
      <c r="B42" s="3" t="s">
        <v>148</v>
      </c>
      <c r="C42" s="4">
        <v>15000</v>
      </c>
      <c r="F42" s="5">
        <f t="shared" si="1"/>
        <v>15000</v>
      </c>
      <c r="G42" s="3" t="s">
        <v>76</v>
      </c>
      <c r="I42" s="3" t="s">
        <v>149</v>
      </c>
      <c r="J42" s="3">
        <v>1</v>
      </c>
      <c r="K42" s="3" t="s">
        <v>54</v>
      </c>
      <c r="L42" s="3" t="s">
        <v>32</v>
      </c>
      <c r="M42" s="3" t="s">
        <v>32</v>
      </c>
      <c r="N42" s="3" t="s">
        <v>33</v>
      </c>
    </row>
    <row r="43" spans="1:15">
      <c r="A43" s="3">
        <v>42</v>
      </c>
      <c r="B43" s="3" t="s">
        <v>150</v>
      </c>
      <c r="C43" s="4">
        <v>15716.2</v>
      </c>
      <c r="F43" s="5">
        <f t="shared" si="1"/>
        <v>15716.2</v>
      </c>
      <c r="G43" s="3" t="s">
        <v>52</v>
      </c>
      <c r="I43" s="3" t="s">
        <v>151</v>
      </c>
      <c r="J43" s="3">
        <v>1</v>
      </c>
      <c r="K43" s="3" t="s">
        <v>54</v>
      </c>
      <c r="L43" s="3" t="s">
        <v>32</v>
      </c>
      <c r="M43" s="3" t="s">
        <v>32</v>
      </c>
      <c r="N43" s="3" t="s">
        <v>33</v>
      </c>
    </row>
    <row r="44" spans="1:15">
      <c r="A44" s="3">
        <v>43</v>
      </c>
      <c r="B44" s="3" t="s">
        <v>152</v>
      </c>
      <c r="C44" s="4">
        <v>15000</v>
      </c>
      <c r="F44" s="5">
        <f t="shared" si="1"/>
        <v>15000</v>
      </c>
      <c r="G44" s="3" t="s">
        <v>76</v>
      </c>
      <c r="I44" s="3" t="s">
        <v>153</v>
      </c>
      <c r="J44" s="3">
        <v>1</v>
      </c>
      <c r="K44" s="3" t="s">
        <v>37</v>
      </c>
      <c r="L44" s="3" t="s">
        <v>32</v>
      </c>
      <c r="M44" s="3" t="s">
        <v>38</v>
      </c>
      <c r="N44" s="3" t="s">
        <v>33</v>
      </c>
    </row>
    <row r="45" spans="1:15">
      <c r="A45" s="3">
        <v>44</v>
      </c>
      <c r="B45" s="3" t="s">
        <v>154</v>
      </c>
      <c r="C45" s="4">
        <v>15000</v>
      </c>
      <c r="F45" s="5">
        <f t="shared" si="1"/>
        <v>15000</v>
      </c>
      <c r="G45" s="3" t="s">
        <v>155</v>
      </c>
      <c r="I45" s="3" t="s">
        <v>156</v>
      </c>
      <c r="J45" s="3">
        <v>1</v>
      </c>
      <c r="K45" s="3" t="s">
        <v>37</v>
      </c>
      <c r="L45" s="3" t="s">
        <v>32</v>
      </c>
      <c r="M45" s="3" t="s">
        <v>32</v>
      </c>
      <c r="N45" s="3" t="s">
        <v>33</v>
      </c>
    </row>
    <row r="46" spans="1:15">
      <c r="A46" s="3">
        <v>45</v>
      </c>
      <c r="B46" s="3" t="s">
        <v>157</v>
      </c>
      <c r="C46" s="4">
        <v>1000</v>
      </c>
      <c r="F46" s="5">
        <f t="shared" si="1"/>
        <v>1000</v>
      </c>
      <c r="G46" s="3" t="s">
        <v>35</v>
      </c>
      <c r="I46" s="3" t="s">
        <v>158</v>
      </c>
      <c r="J46" s="3">
        <v>2</v>
      </c>
      <c r="K46" s="3" t="s">
        <v>42</v>
      </c>
      <c r="L46" s="3" t="s">
        <v>32</v>
      </c>
      <c r="M46" s="3" t="s">
        <v>62</v>
      </c>
      <c r="N46" s="3" t="s">
        <v>124</v>
      </c>
    </row>
    <row r="47" spans="1:15">
      <c r="A47" s="3">
        <v>46</v>
      </c>
      <c r="B47" s="3" t="s">
        <v>159</v>
      </c>
      <c r="C47" s="4">
        <v>3000</v>
      </c>
      <c r="D47" s="3">
        <v>5</v>
      </c>
      <c r="E47" s="4">
        <v>3277.85</v>
      </c>
      <c r="F47" s="5">
        <f t="shared" si="1"/>
        <v>19389.25</v>
      </c>
      <c r="G47" s="3" t="s">
        <v>65</v>
      </c>
      <c r="H47" s="6">
        <v>45509</v>
      </c>
      <c r="I47" s="3">
        <v>92994119700</v>
      </c>
      <c r="J47" s="3">
        <v>3</v>
      </c>
      <c r="K47" s="3" t="s">
        <v>46</v>
      </c>
      <c r="L47" s="3" t="s">
        <v>160</v>
      </c>
      <c r="M47" s="3" t="s">
        <v>38</v>
      </c>
      <c r="N47" s="3" t="s">
        <v>33</v>
      </c>
    </row>
    <row r="48" spans="1:15">
      <c r="A48" s="3">
        <v>47</v>
      </c>
      <c r="B48" s="3" t="s">
        <v>161</v>
      </c>
      <c r="C48" s="4">
        <v>17500</v>
      </c>
      <c r="F48" s="5">
        <f t="shared" si="1"/>
        <v>17500</v>
      </c>
      <c r="G48" s="3" t="s">
        <v>35</v>
      </c>
      <c r="I48" s="3" t="s">
        <v>162</v>
      </c>
      <c r="J48" s="3">
        <v>2</v>
      </c>
      <c r="K48" s="3" t="s">
        <v>46</v>
      </c>
      <c r="L48" s="3" t="s">
        <v>32</v>
      </c>
      <c r="M48" s="3" t="s">
        <v>32</v>
      </c>
      <c r="N48" s="3" t="s">
        <v>33</v>
      </c>
    </row>
    <row r="49" spans="1:16">
      <c r="A49" s="3">
        <v>48</v>
      </c>
      <c r="B49" s="3" t="s">
        <v>163</v>
      </c>
      <c r="C49" s="4">
        <v>7500</v>
      </c>
      <c r="D49" s="3">
        <v>1</v>
      </c>
      <c r="E49" s="4">
        <v>7875</v>
      </c>
      <c r="F49" s="5">
        <f t="shared" si="1"/>
        <v>15375</v>
      </c>
      <c r="G49" s="3" t="s">
        <v>164</v>
      </c>
      <c r="H49" s="6">
        <v>45547</v>
      </c>
      <c r="I49" s="3" t="s">
        <v>165</v>
      </c>
      <c r="J49" s="3">
        <v>1</v>
      </c>
      <c r="K49" s="3" t="s">
        <v>128</v>
      </c>
      <c r="L49" s="3" t="s">
        <v>118</v>
      </c>
      <c r="M49" s="3" t="s">
        <v>38</v>
      </c>
      <c r="N49" s="3" t="s">
        <v>33</v>
      </c>
      <c r="P49" s="3" t="s">
        <v>166</v>
      </c>
    </row>
    <row r="50" spans="1:16">
      <c r="A50" s="3">
        <v>49</v>
      </c>
      <c r="B50" s="3" t="s">
        <v>167</v>
      </c>
      <c r="C50" s="4">
        <v>17500</v>
      </c>
      <c r="F50" s="5">
        <f t="shared" si="1"/>
        <v>17500</v>
      </c>
      <c r="G50" s="3" t="s">
        <v>168</v>
      </c>
      <c r="I50" s="3" t="s">
        <v>169</v>
      </c>
      <c r="J50" s="3">
        <v>2</v>
      </c>
      <c r="K50" s="3" t="s">
        <v>170</v>
      </c>
      <c r="L50" s="3" t="s">
        <v>32</v>
      </c>
      <c r="M50" s="3" t="s">
        <v>38</v>
      </c>
      <c r="N50" s="3" t="s">
        <v>33</v>
      </c>
    </row>
    <row r="51" spans="1:16">
      <c r="A51" s="3">
        <v>50</v>
      </c>
      <c r="B51" s="3" t="s">
        <v>171</v>
      </c>
      <c r="C51" s="4">
        <v>1000</v>
      </c>
      <c r="F51" s="5">
        <f t="shared" si="1"/>
        <v>1000</v>
      </c>
      <c r="G51" s="3" t="s">
        <v>35</v>
      </c>
      <c r="I51" s="3" t="s">
        <v>172</v>
      </c>
      <c r="J51" s="3">
        <v>2</v>
      </c>
      <c r="K51" s="3" t="s">
        <v>173</v>
      </c>
      <c r="L51" s="3" t="s">
        <v>32</v>
      </c>
      <c r="M51" s="3" t="s">
        <v>32</v>
      </c>
      <c r="N51" s="3" t="s">
        <v>63</v>
      </c>
    </row>
    <row r="52" spans="1:16">
      <c r="A52" s="3">
        <v>59</v>
      </c>
      <c r="B52" s="3" t="s">
        <v>174</v>
      </c>
      <c r="C52" s="4" t="s">
        <v>175</v>
      </c>
      <c r="D52" s="3">
        <v>5</v>
      </c>
      <c r="E52" s="4" t="s">
        <v>176</v>
      </c>
      <c r="F52" s="3" t="s">
        <v>177</v>
      </c>
      <c r="G52" s="3" t="s">
        <v>35</v>
      </c>
      <c r="I52" s="3" t="s">
        <v>178</v>
      </c>
      <c r="K52" s="3" t="s">
        <v>179</v>
      </c>
    </row>
    <row r="53" spans="1:16">
      <c r="A53" s="3">
        <v>52</v>
      </c>
      <c r="B53" s="3" t="s">
        <v>180</v>
      </c>
      <c r="C53" s="4">
        <v>3000</v>
      </c>
      <c r="D53" s="3">
        <v>5</v>
      </c>
      <c r="E53" s="4">
        <v>3277.85</v>
      </c>
      <c r="F53" s="5">
        <f t="shared" ref="F53:F60" si="2">(E53*D53)+C53</f>
        <v>19389.25</v>
      </c>
      <c r="G53" s="3" t="s">
        <v>65</v>
      </c>
      <c r="H53" s="6">
        <v>45490</v>
      </c>
      <c r="I53" s="3" t="s">
        <v>181</v>
      </c>
      <c r="J53" s="3">
        <v>3</v>
      </c>
      <c r="K53" s="3" t="s">
        <v>182</v>
      </c>
      <c r="L53" s="3" t="s">
        <v>62</v>
      </c>
      <c r="M53" s="3" t="s">
        <v>38</v>
      </c>
      <c r="N53" s="3" t="s">
        <v>33</v>
      </c>
    </row>
    <row r="54" spans="1:16">
      <c r="A54" s="3">
        <v>51</v>
      </c>
      <c r="B54" s="3" t="s">
        <v>183</v>
      </c>
      <c r="C54" s="4">
        <v>1000</v>
      </c>
      <c r="D54" s="3">
        <v>5</v>
      </c>
      <c r="F54" s="5">
        <f t="shared" si="2"/>
        <v>1000</v>
      </c>
      <c r="G54" s="3" t="s">
        <v>59</v>
      </c>
      <c r="H54" s="6">
        <v>45447</v>
      </c>
      <c r="I54" s="3" t="s">
        <v>184</v>
      </c>
      <c r="J54" s="3">
        <v>2</v>
      </c>
      <c r="K54" s="3" t="s">
        <v>46</v>
      </c>
      <c r="L54" s="3" t="s">
        <v>32</v>
      </c>
      <c r="M54" s="3" t="s">
        <v>32</v>
      </c>
      <c r="N54" s="3" t="s">
        <v>33</v>
      </c>
      <c r="P54" s="3" t="s">
        <v>185</v>
      </c>
    </row>
    <row r="55" spans="1:16">
      <c r="A55" s="3">
        <v>54</v>
      </c>
      <c r="B55" s="3" t="s">
        <v>186</v>
      </c>
      <c r="C55" s="4">
        <v>17500</v>
      </c>
      <c r="F55" s="5">
        <f t="shared" si="2"/>
        <v>17500</v>
      </c>
      <c r="G55" s="3" t="s">
        <v>168</v>
      </c>
      <c r="I55" s="3" t="s">
        <v>187</v>
      </c>
      <c r="J55" s="3">
        <v>2</v>
      </c>
      <c r="K55" s="3" t="s">
        <v>46</v>
      </c>
      <c r="L55" s="3" t="s">
        <v>32</v>
      </c>
      <c r="M55" s="3" t="s">
        <v>32</v>
      </c>
      <c r="N55" s="3" t="s">
        <v>33</v>
      </c>
    </row>
    <row r="56" spans="1:16">
      <c r="A56" s="3">
        <v>55</v>
      </c>
      <c r="B56" s="3" t="s">
        <v>188</v>
      </c>
      <c r="C56" s="4">
        <v>15000</v>
      </c>
      <c r="F56" s="5">
        <f t="shared" si="2"/>
        <v>15000</v>
      </c>
      <c r="G56" s="3" t="s">
        <v>76</v>
      </c>
      <c r="I56" s="3" t="s">
        <v>189</v>
      </c>
      <c r="J56" s="3">
        <v>1</v>
      </c>
      <c r="K56" s="3" t="s">
        <v>190</v>
      </c>
      <c r="L56" s="3" t="s">
        <v>160</v>
      </c>
      <c r="M56" s="3" t="s">
        <v>38</v>
      </c>
      <c r="N56" s="3" t="s">
        <v>124</v>
      </c>
    </row>
    <row r="57" spans="1:16">
      <c r="A57" s="3">
        <v>53</v>
      </c>
      <c r="B57" s="3" t="s">
        <v>191</v>
      </c>
      <c r="C57" s="4">
        <v>1000</v>
      </c>
      <c r="F57" s="5">
        <f t="shared" si="2"/>
        <v>1000</v>
      </c>
      <c r="G57" s="3" t="s">
        <v>35</v>
      </c>
      <c r="I57" s="3" t="s">
        <v>192</v>
      </c>
      <c r="J57" s="3">
        <v>2</v>
      </c>
      <c r="K57" s="3" t="s">
        <v>193</v>
      </c>
      <c r="L57" s="3" t="s">
        <v>32</v>
      </c>
      <c r="M57" s="3" t="s">
        <v>38</v>
      </c>
      <c r="N57" s="3" t="s">
        <v>33</v>
      </c>
    </row>
    <row r="58" spans="1:16">
      <c r="A58" s="3">
        <v>57</v>
      </c>
      <c r="B58" s="3" t="s">
        <v>194</v>
      </c>
      <c r="C58" s="4">
        <v>15000</v>
      </c>
      <c r="F58" s="5">
        <f t="shared" si="2"/>
        <v>15000</v>
      </c>
      <c r="G58" s="3" t="s">
        <v>195</v>
      </c>
      <c r="I58" s="3" t="s">
        <v>196</v>
      </c>
      <c r="J58" s="3">
        <v>1</v>
      </c>
      <c r="K58" s="3" t="s">
        <v>42</v>
      </c>
      <c r="L58" s="3" t="s">
        <v>32</v>
      </c>
      <c r="M58" s="3" t="s">
        <v>32</v>
      </c>
      <c r="N58" s="3" t="s">
        <v>33</v>
      </c>
    </row>
    <row r="59" spans="1:16">
      <c r="A59" s="3">
        <v>56</v>
      </c>
      <c r="B59" s="3" t="s">
        <v>197</v>
      </c>
      <c r="C59" s="4">
        <v>1000</v>
      </c>
      <c r="D59" s="3">
        <v>12</v>
      </c>
      <c r="F59" s="5">
        <f t="shared" si="2"/>
        <v>1000</v>
      </c>
      <c r="G59" s="3" t="s">
        <v>56</v>
      </c>
      <c r="H59" s="6">
        <v>45416</v>
      </c>
      <c r="I59" s="3" t="s">
        <v>198</v>
      </c>
      <c r="J59" s="3">
        <v>2</v>
      </c>
      <c r="K59" s="3" t="s">
        <v>42</v>
      </c>
      <c r="L59" s="3" t="s">
        <v>32</v>
      </c>
      <c r="M59" s="3" t="s">
        <v>32</v>
      </c>
      <c r="N59" s="3" t="s">
        <v>33</v>
      </c>
    </row>
    <row r="60" spans="1:16">
      <c r="A60" s="3">
        <v>58</v>
      </c>
      <c r="B60" s="3" t="s">
        <v>199</v>
      </c>
      <c r="C60" s="4">
        <v>1000</v>
      </c>
      <c r="F60" s="5">
        <f t="shared" si="2"/>
        <v>1000</v>
      </c>
      <c r="G60" s="3" t="s">
        <v>35</v>
      </c>
      <c r="I60" s="3" t="s">
        <v>200</v>
      </c>
      <c r="J60" s="3">
        <v>2</v>
      </c>
      <c r="K60" s="3" t="s">
        <v>135</v>
      </c>
      <c r="L60" s="3" t="s">
        <v>32</v>
      </c>
      <c r="M60" s="3" t="s">
        <v>32</v>
      </c>
      <c r="N60" s="3" t="s">
        <v>33</v>
      </c>
    </row>
    <row r="61" spans="1:16">
      <c r="E61" s="4" t="s">
        <v>20</v>
      </c>
      <c r="F61" s="5" t="e">
        <f>SUM(F2:F59)</f>
        <v>#VALUE!</v>
      </c>
    </row>
  </sheetData>
  <autoFilter ref="A1:P61" xr:uid="{9E40D809-508A-4FCB-B280-D28389B0B21D}">
    <filterColumn colId="6">
      <filters>
        <filter val="1 boleto de R$7.875,00"/>
        <filter val="Boleto"/>
        <filter val="Boleto 12x"/>
        <filter val="Boleto 4x"/>
        <filter val="Boleto 5x"/>
      </filters>
    </filterColumn>
    <sortState xmlns:xlrd2="http://schemas.microsoft.com/office/spreadsheetml/2017/richdata2" ref="A2:P61">
      <sortCondition ref="B1:B61"/>
    </sortState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3BDEA-0AD1-4D84-B69C-CA4DA50A9AFF}">
  <dimension ref="A1:W63"/>
  <sheetViews>
    <sheetView workbookViewId="0">
      <pane xSplit="2" ySplit="1" topLeftCell="C42" activePane="bottomRight" state="frozen"/>
      <selection pane="bottomRight" activeCell="E36" sqref="E36"/>
      <selection pane="bottomLeft"/>
      <selection pane="topRight"/>
    </sheetView>
  </sheetViews>
  <sheetFormatPr defaultColWidth="9.140625" defaultRowHeight="15" customHeight="1"/>
  <cols>
    <col min="1" max="1" width="6.85546875" style="7" bestFit="1" customWidth="1"/>
    <col min="2" max="2" width="39.28515625" style="92" bestFit="1" customWidth="1"/>
    <col min="3" max="3" width="15" style="7" bestFit="1" customWidth="1"/>
    <col min="4" max="4" width="21.85546875" style="7" customWidth="1"/>
    <col min="5" max="5" width="110.7109375" style="92" bestFit="1" customWidth="1"/>
    <col min="6" max="6" width="32.42578125" style="7" bestFit="1" customWidth="1"/>
    <col min="7" max="7" width="18" style="8" bestFit="1" customWidth="1"/>
    <col min="8" max="8" width="19.42578125" style="7" customWidth="1"/>
    <col min="9" max="9" width="15.140625" style="8" customWidth="1"/>
    <col min="10" max="10" width="21" style="7" customWidth="1"/>
    <col min="11" max="11" width="28.85546875" style="7" customWidth="1"/>
    <col min="12" max="12" width="20" style="7" customWidth="1"/>
    <col min="13" max="13" width="20.5703125" style="7" customWidth="1"/>
    <col min="14" max="14" width="20.85546875" style="7" customWidth="1"/>
    <col min="15" max="15" width="7.85546875" style="7" bestFit="1" customWidth="1"/>
    <col min="16" max="16" width="17.28515625" style="7" bestFit="1" customWidth="1"/>
    <col min="17" max="17" width="24.5703125" style="7" bestFit="1" customWidth="1"/>
    <col min="18" max="18" width="24.5703125" style="7" customWidth="1"/>
    <col min="19" max="19" width="12.7109375" style="7" bestFit="1" customWidth="1"/>
    <col min="20" max="20" width="9.7109375" style="7" bestFit="1" customWidth="1"/>
    <col min="21" max="21" width="29.28515625" style="7" customWidth="1"/>
    <col min="22" max="22" width="122" style="7" customWidth="1"/>
    <col min="23" max="16221" width="9.140625" style="55"/>
    <col min="16222" max="16222" width="9.140625" style="55" bestFit="1"/>
    <col min="16223" max="16384" width="9.140625" style="55"/>
  </cols>
  <sheetData>
    <row r="1" spans="1:22" s="71" customFormat="1" ht="20.25">
      <c r="A1" s="70" t="s">
        <v>15</v>
      </c>
      <c r="B1" s="70" t="s">
        <v>16</v>
      </c>
      <c r="C1" s="70" t="s">
        <v>201</v>
      </c>
      <c r="D1" s="70" t="s">
        <v>23</v>
      </c>
      <c r="E1" s="83" t="s">
        <v>202</v>
      </c>
      <c r="F1" s="70" t="s">
        <v>203</v>
      </c>
      <c r="G1" s="73" t="s">
        <v>17</v>
      </c>
      <c r="H1" s="70" t="s">
        <v>18</v>
      </c>
      <c r="I1" s="73" t="s">
        <v>19</v>
      </c>
      <c r="J1" s="70" t="s">
        <v>20</v>
      </c>
      <c r="K1" s="70" t="s">
        <v>204</v>
      </c>
      <c r="L1" s="70" t="s">
        <v>205</v>
      </c>
      <c r="M1" s="70" t="s">
        <v>22</v>
      </c>
      <c r="N1" s="70" t="s">
        <v>23</v>
      </c>
      <c r="O1" s="70" t="s">
        <v>24</v>
      </c>
      <c r="P1" s="70" t="s">
        <v>0</v>
      </c>
      <c r="Q1" s="70" t="s">
        <v>25</v>
      </c>
      <c r="R1" s="70" t="s">
        <v>206</v>
      </c>
      <c r="S1" s="70" t="s">
        <v>26</v>
      </c>
      <c r="T1" s="70" t="s">
        <v>27</v>
      </c>
      <c r="U1" s="70" t="s">
        <v>1</v>
      </c>
      <c r="V1" s="70" t="s">
        <v>207</v>
      </c>
    </row>
    <row r="2" spans="1:22">
      <c r="A2" s="74">
        <v>1</v>
      </c>
      <c r="B2" s="84" t="s">
        <v>208</v>
      </c>
      <c r="C2" s="74" t="s">
        <v>209</v>
      </c>
      <c r="D2" s="74" t="s">
        <v>210</v>
      </c>
      <c r="E2" s="75" t="s">
        <v>211</v>
      </c>
      <c r="F2" s="76" t="s">
        <v>212</v>
      </c>
      <c r="G2" s="77">
        <v>3000</v>
      </c>
      <c r="H2" s="74">
        <v>11</v>
      </c>
      <c r="I2" s="78">
        <v>1603.45</v>
      </c>
      <c r="J2" s="79" t="s">
        <v>213</v>
      </c>
      <c r="K2" s="74" t="s">
        <v>214</v>
      </c>
      <c r="L2" s="80">
        <v>45577</v>
      </c>
      <c r="M2" s="81">
        <v>45585</v>
      </c>
      <c r="N2" s="74" t="s">
        <v>210</v>
      </c>
      <c r="O2" s="74">
        <v>1</v>
      </c>
      <c r="P2" s="74" t="s">
        <v>6</v>
      </c>
      <c r="Q2" s="74" t="s">
        <v>215</v>
      </c>
      <c r="R2" s="82" t="s">
        <v>216</v>
      </c>
      <c r="S2" s="72" t="s">
        <v>217</v>
      </c>
      <c r="T2" s="72"/>
      <c r="U2" s="72" t="s">
        <v>9</v>
      </c>
      <c r="V2" s="72" t="s">
        <v>218</v>
      </c>
    </row>
    <row r="3" spans="1:22">
      <c r="A3" s="9">
        <v>2</v>
      </c>
      <c r="B3" s="85" t="s">
        <v>219</v>
      </c>
      <c r="C3" s="9" t="s">
        <v>220</v>
      </c>
      <c r="D3" s="9" t="s">
        <v>221</v>
      </c>
      <c r="E3" s="87" t="s">
        <v>222</v>
      </c>
      <c r="F3" s="18" t="s">
        <v>223</v>
      </c>
      <c r="G3" s="19">
        <v>3000</v>
      </c>
      <c r="H3" s="9">
        <v>11</v>
      </c>
      <c r="I3" s="19">
        <v>1668</v>
      </c>
      <c r="J3" s="20" t="s">
        <v>224</v>
      </c>
      <c r="K3" s="9" t="s">
        <v>214</v>
      </c>
      <c r="L3" s="22" t="s">
        <v>225</v>
      </c>
      <c r="M3" s="22">
        <v>45598</v>
      </c>
      <c r="N3" s="9" t="s">
        <v>221</v>
      </c>
      <c r="O3" s="9">
        <v>1</v>
      </c>
      <c r="P3" s="9" t="s">
        <v>6</v>
      </c>
      <c r="Q3" s="9" t="s">
        <v>226</v>
      </c>
      <c r="R3" s="66" t="s">
        <v>216</v>
      </c>
      <c r="S3" s="61" t="s">
        <v>217</v>
      </c>
      <c r="T3" s="61"/>
      <c r="U3" s="61" t="s">
        <v>4</v>
      </c>
      <c r="V3" s="61"/>
    </row>
    <row r="4" spans="1:22">
      <c r="A4" s="38">
        <v>3</v>
      </c>
      <c r="B4" s="86" t="s">
        <v>227</v>
      </c>
      <c r="C4" s="38" t="s">
        <v>228</v>
      </c>
      <c r="D4" s="38" t="s">
        <v>229</v>
      </c>
      <c r="E4" s="47" t="s">
        <v>230</v>
      </c>
      <c r="F4" s="39" t="s">
        <v>231</v>
      </c>
      <c r="G4" s="40">
        <v>3000</v>
      </c>
      <c r="H4" s="38">
        <v>11</v>
      </c>
      <c r="I4" s="40">
        <v>1668</v>
      </c>
      <c r="J4" s="48" t="s">
        <v>224</v>
      </c>
      <c r="K4" s="38" t="s">
        <v>214</v>
      </c>
      <c r="L4" s="38" t="s">
        <v>232</v>
      </c>
      <c r="M4" s="43">
        <v>45605</v>
      </c>
      <c r="N4" s="38" t="s">
        <v>229</v>
      </c>
      <c r="O4" s="38">
        <v>1</v>
      </c>
      <c r="P4" s="38" t="s">
        <v>6</v>
      </c>
      <c r="Q4" s="38" t="s">
        <v>215</v>
      </c>
      <c r="R4" s="45" t="s">
        <v>216</v>
      </c>
      <c r="S4" s="46" t="s">
        <v>217</v>
      </c>
      <c r="T4" s="46"/>
      <c r="U4" s="46" t="s">
        <v>8</v>
      </c>
      <c r="V4" s="46" t="s">
        <v>233</v>
      </c>
    </row>
    <row r="5" spans="1:22">
      <c r="A5" s="9">
        <v>4</v>
      </c>
      <c r="B5" s="85" t="s">
        <v>234</v>
      </c>
      <c r="C5" s="9" t="s">
        <v>235</v>
      </c>
      <c r="D5" s="9" t="s">
        <v>236</v>
      </c>
      <c r="E5" s="87" t="s">
        <v>237</v>
      </c>
      <c r="F5" s="18" t="s">
        <v>238</v>
      </c>
      <c r="G5" s="19">
        <v>3000</v>
      </c>
      <c r="H5" s="9">
        <v>12</v>
      </c>
      <c r="I5" s="19">
        <v>1460.57</v>
      </c>
      <c r="J5" s="20" t="s">
        <v>239</v>
      </c>
      <c r="K5" s="9" t="s">
        <v>214</v>
      </c>
      <c r="L5" s="9" t="s">
        <v>232</v>
      </c>
      <c r="M5" s="22">
        <v>45609</v>
      </c>
      <c r="N5" s="9" t="s">
        <v>236</v>
      </c>
      <c r="O5" s="9">
        <v>1</v>
      </c>
      <c r="P5" s="9" t="s">
        <v>6</v>
      </c>
      <c r="Q5" s="9" t="s">
        <v>240</v>
      </c>
      <c r="R5" s="66" t="s">
        <v>216</v>
      </c>
      <c r="S5" s="61" t="s">
        <v>217</v>
      </c>
      <c r="T5" s="61"/>
      <c r="U5" s="61" t="s">
        <v>4</v>
      </c>
      <c r="V5" s="61"/>
    </row>
    <row r="6" spans="1:22" ht="15" customHeight="1">
      <c r="A6" s="9">
        <v>5</v>
      </c>
      <c r="B6" s="87" t="s">
        <v>241</v>
      </c>
      <c r="C6" s="9" t="s">
        <v>242</v>
      </c>
      <c r="D6" s="9">
        <v>4196691866</v>
      </c>
      <c r="E6" s="87" t="s">
        <v>243</v>
      </c>
      <c r="F6" s="18" t="s">
        <v>244</v>
      </c>
      <c r="G6" s="19">
        <v>3000</v>
      </c>
      <c r="H6" s="9">
        <v>9</v>
      </c>
      <c r="I6" s="19">
        <v>1927.66</v>
      </c>
      <c r="J6" s="20" t="s">
        <v>245</v>
      </c>
      <c r="K6" s="9" t="s">
        <v>214</v>
      </c>
      <c r="L6" s="9" t="s">
        <v>246</v>
      </c>
      <c r="M6" s="9" t="s">
        <v>247</v>
      </c>
      <c r="N6" s="9">
        <v>4196691866</v>
      </c>
      <c r="O6" s="9">
        <v>1</v>
      </c>
      <c r="P6" s="9" t="s">
        <v>6</v>
      </c>
      <c r="Q6" s="9" t="s">
        <v>215</v>
      </c>
      <c r="R6" s="66" t="s">
        <v>216</v>
      </c>
      <c r="S6" s="61" t="s">
        <v>217</v>
      </c>
      <c r="T6" s="61"/>
      <c r="U6" s="61" t="s">
        <v>4</v>
      </c>
      <c r="V6" s="61"/>
    </row>
    <row r="7" spans="1:22" s="56" customFormat="1" ht="15" customHeight="1">
      <c r="A7" s="9">
        <v>6</v>
      </c>
      <c r="B7" s="88" t="s">
        <v>248</v>
      </c>
      <c r="C7" s="20" t="s">
        <v>249</v>
      </c>
      <c r="D7" s="20" t="s">
        <v>250</v>
      </c>
      <c r="E7" s="115" t="s">
        <v>251</v>
      </c>
      <c r="F7" s="23" t="s">
        <v>252</v>
      </c>
      <c r="G7" s="24">
        <v>3000</v>
      </c>
      <c r="H7" s="20">
        <v>10</v>
      </c>
      <c r="I7" s="24">
        <v>2142.08</v>
      </c>
      <c r="J7" s="20" t="s">
        <v>253</v>
      </c>
      <c r="K7" s="20" t="s">
        <v>214</v>
      </c>
      <c r="L7" s="25">
        <v>45577</v>
      </c>
      <c r="M7" s="20" t="s">
        <v>254</v>
      </c>
      <c r="N7" s="20" t="s">
        <v>250</v>
      </c>
      <c r="O7" s="20">
        <v>1</v>
      </c>
      <c r="P7" s="9" t="s">
        <v>6</v>
      </c>
      <c r="Q7" s="9" t="s">
        <v>215</v>
      </c>
      <c r="R7" s="67" t="s">
        <v>216</v>
      </c>
      <c r="S7" s="61" t="s">
        <v>217</v>
      </c>
      <c r="T7" s="62"/>
      <c r="U7" s="61" t="s">
        <v>4</v>
      </c>
      <c r="V7" s="62"/>
    </row>
    <row r="8" spans="1:22">
      <c r="A8" s="9">
        <v>7</v>
      </c>
      <c r="B8" s="85" t="s">
        <v>255</v>
      </c>
      <c r="C8" s="9" t="s">
        <v>256</v>
      </c>
      <c r="D8" s="9" t="s">
        <v>257</v>
      </c>
      <c r="E8" s="87" t="s">
        <v>258</v>
      </c>
      <c r="F8" s="18" t="s">
        <v>259</v>
      </c>
      <c r="G8" s="19">
        <v>3000</v>
      </c>
      <c r="H8" s="9">
        <v>9</v>
      </c>
      <c r="I8" s="19">
        <v>2391.7600000000002</v>
      </c>
      <c r="J8" s="20" t="s">
        <v>260</v>
      </c>
      <c r="K8" s="9" t="s">
        <v>214</v>
      </c>
      <c r="L8" s="21">
        <v>45931</v>
      </c>
      <c r="M8" s="9" t="s">
        <v>261</v>
      </c>
      <c r="N8" s="9" t="s">
        <v>257</v>
      </c>
      <c r="O8" s="9">
        <v>1</v>
      </c>
      <c r="P8" s="9" t="s">
        <v>6</v>
      </c>
      <c r="Q8" s="9" t="s">
        <v>262</v>
      </c>
      <c r="R8" s="66" t="s">
        <v>216</v>
      </c>
      <c r="S8" s="61" t="s">
        <v>217</v>
      </c>
      <c r="T8" s="61"/>
      <c r="U8" s="61" t="s">
        <v>4</v>
      </c>
      <c r="V8" s="61"/>
    </row>
    <row r="9" spans="1:22">
      <c r="A9" s="9">
        <v>8</v>
      </c>
      <c r="B9" s="85" t="s">
        <v>263</v>
      </c>
      <c r="C9" s="9" t="s">
        <v>264</v>
      </c>
      <c r="D9" s="9">
        <v>81997318624</v>
      </c>
      <c r="E9" s="85" t="s">
        <v>265</v>
      </c>
      <c r="F9" s="18" t="s">
        <v>266</v>
      </c>
      <c r="G9" s="19">
        <v>10000</v>
      </c>
      <c r="H9" s="9">
        <v>4</v>
      </c>
      <c r="I9" s="19">
        <v>2500</v>
      </c>
      <c r="J9" s="9" t="s">
        <v>267</v>
      </c>
      <c r="K9" s="9" t="s">
        <v>268</v>
      </c>
      <c r="L9" s="9" t="s">
        <v>269</v>
      </c>
      <c r="M9" s="9" t="s">
        <v>269</v>
      </c>
      <c r="N9" s="9">
        <v>81997318624</v>
      </c>
      <c r="O9" s="9">
        <v>1</v>
      </c>
      <c r="P9" s="9" t="s">
        <v>6</v>
      </c>
      <c r="Q9" s="9" t="s">
        <v>270</v>
      </c>
      <c r="R9" s="66" t="s">
        <v>269</v>
      </c>
      <c r="S9" s="61" t="s">
        <v>217</v>
      </c>
      <c r="T9" s="61"/>
      <c r="U9" s="61" t="s">
        <v>4</v>
      </c>
      <c r="V9" s="61"/>
    </row>
    <row r="10" spans="1:22">
      <c r="A10" s="38">
        <v>9</v>
      </c>
      <c r="B10" s="86" t="s">
        <v>271</v>
      </c>
      <c r="C10" s="38" t="s">
        <v>272</v>
      </c>
      <c r="D10" s="38">
        <v>66992429671</v>
      </c>
      <c r="E10" s="116" t="s">
        <v>273</v>
      </c>
      <c r="F10" s="39" t="s">
        <v>274</v>
      </c>
      <c r="G10" s="40">
        <v>3000</v>
      </c>
      <c r="H10" s="38">
        <v>10</v>
      </c>
      <c r="I10" s="40">
        <v>2268</v>
      </c>
      <c r="J10" s="38" t="s">
        <v>275</v>
      </c>
      <c r="K10" s="38" t="s">
        <v>214</v>
      </c>
      <c r="L10" s="42">
        <v>45931</v>
      </c>
      <c r="M10" s="42">
        <v>45577</v>
      </c>
      <c r="N10" s="38">
        <v>66992429671</v>
      </c>
      <c r="O10" s="38">
        <v>1</v>
      </c>
      <c r="P10" s="38" t="s">
        <v>3</v>
      </c>
      <c r="Q10" s="38" t="s">
        <v>215</v>
      </c>
      <c r="R10" s="45" t="s">
        <v>216</v>
      </c>
      <c r="S10" s="46" t="s">
        <v>217</v>
      </c>
      <c r="T10" s="46"/>
      <c r="U10" s="61" t="s">
        <v>4</v>
      </c>
      <c r="V10" s="46" t="s">
        <v>276</v>
      </c>
    </row>
    <row r="11" spans="1:22" ht="15" customHeight="1">
      <c r="A11" s="9">
        <v>10</v>
      </c>
      <c r="B11" s="85" t="s">
        <v>277</v>
      </c>
      <c r="C11" s="9" t="s">
        <v>278</v>
      </c>
      <c r="D11" s="9">
        <v>22988136323</v>
      </c>
      <c r="E11" s="85" t="s">
        <v>279</v>
      </c>
      <c r="F11" s="18" t="s">
        <v>280</v>
      </c>
      <c r="G11" s="19">
        <v>5000</v>
      </c>
      <c r="H11" s="9">
        <v>9</v>
      </c>
      <c r="I11" s="19">
        <v>2165.39</v>
      </c>
      <c r="J11" s="9" t="s">
        <v>281</v>
      </c>
      <c r="K11" s="9" t="s">
        <v>214</v>
      </c>
      <c r="L11" s="21">
        <v>45932</v>
      </c>
      <c r="M11" s="22">
        <v>45664</v>
      </c>
      <c r="N11" s="9">
        <v>22988136323</v>
      </c>
      <c r="O11" s="9">
        <v>1</v>
      </c>
      <c r="P11" s="9" t="s">
        <v>6</v>
      </c>
      <c r="Q11" s="9" t="s">
        <v>215</v>
      </c>
      <c r="R11" s="66" t="s">
        <v>216</v>
      </c>
      <c r="S11" s="61" t="s">
        <v>217</v>
      </c>
      <c r="T11" s="61"/>
      <c r="U11" s="61" t="s">
        <v>4</v>
      </c>
      <c r="V11" s="61"/>
    </row>
    <row r="12" spans="1:22" ht="15" customHeight="1">
      <c r="A12" s="38">
        <v>11</v>
      </c>
      <c r="B12" s="86" t="s">
        <v>282</v>
      </c>
      <c r="C12" s="38" t="s">
        <v>283</v>
      </c>
      <c r="D12" s="38" t="s">
        <v>284</v>
      </c>
      <c r="E12" s="86" t="s">
        <v>285</v>
      </c>
      <c r="F12" s="39" t="s">
        <v>286</v>
      </c>
      <c r="G12" s="40">
        <v>3000</v>
      </c>
      <c r="H12" s="38">
        <v>9</v>
      </c>
      <c r="I12" s="40">
        <v>2416.3000000000002</v>
      </c>
      <c r="J12" s="41">
        <v>24744</v>
      </c>
      <c r="K12" s="38" t="s">
        <v>214</v>
      </c>
      <c r="L12" s="42" t="s">
        <v>287</v>
      </c>
      <c r="M12" s="43">
        <v>45668</v>
      </c>
      <c r="N12" s="38" t="s">
        <v>284</v>
      </c>
      <c r="O12" s="38">
        <v>1</v>
      </c>
      <c r="P12" s="38" t="s">
        <v>6</v>
      </c>
      <c r="Q12" s="38" t="s">
        <v>288</v>
      </c>
      <c r="R12" s="45" t="s">
        <v>216</v>
      </c>
      <c r="S12" s="46" t="s">
        <v>217</v>
      </c>
      <c r="T12" s="46"/>
      <c r="U12" s="61" t="s">
        <v>4</v>
      </c>
      <c r="V12" s="46" t="s">
        <v>289</v>
      </c>
    </row>
    <row r="13" spans="1:22" ht="14.25" customHeight="1">
      <c r="A13" s="9">
        <v>12</v>
      </c>
      <c r="B13" s="85" t="s">
        <v>290</v>
      </c>
      <c r="C13" s="9" t="s">
        <v>291</v>
      </c>
      <c r="D13" s="50" t="s">
        <v>292</v>
      </c>
      <c r="E13" s="85" t="s">
        <v>293</v>
      </c>
      <c r="F13" s="18" t="s">
        <v>294</v>
      </c>
      <c r="G13" s="19">
        <v>3000</v>
      </c>
      <c r="H13" s="9">
        <v>9</v>
      </c>
      <c r="I13" s="19">
        <v>2488</v>
      </c>
      <c r="J13" s="32">
        <v>25392</v>
      </c>
      <c r="K13" s="9" t="s">
        <v>214</v>
      </c>
      <c r="L13" s="21">
        <v>45932</v>
      </c>
      <c r="M13" s="22">
        <v>45668</v>
      </c>
      <c r="N13" s="9" t="s">
        <v>292</v>
      </c>
      <c r="O13" s="9">
        <v>1</v>
      </c>
      <c r="P13" s="9" t="s">
        <v>6</v>
      </c>
      <c r="Q13" s="9" t="s">
        <v>295</v>
      </c>
      <c r="R13" s="66" t="s">
        <v>216</v>
      </c>
      <c r="S13" s="61" t="s">
        <v>217</v>
      </c>
      <c r="T13" s="61"/>
      <c r="U13" s="61" t="s">
        <v>4</v>
      </c>
      <c r="V13" s="61"/>
    </row>
    <row r="14" spans="1:22" ht="15" customHeight="1">
      <c r="A14" s="9">
        <v>13</v>
      </c>
      <c r="B14" s="85" t="s">
        <v>296</v>
      </c>
      <c r="C14" s="9" t="s">
        <v>297</v>
      </c>
      <c r="D14" s="50" t="s">
        <v>298</v>
      </c>
      <c r="E14" s="85" t="s">
        <v>299</v>
      </c>
      <c r="F14" s="18" t="s">
        <v>300</v>
      </c>
      <c r="G14" s="19">
        <v>3000</v>
      </c>
      <c r="H14" s="9">
        <v>9</v>
      </c>
      <c r="I14" s="19">
        <v>2344</v>
      </c>
      <c r="J14" s="32">
        <v>24096</v>
      </c>
      <c r="K14" s="9" t="s">
        <v>214</v>
      </c>
      <c r="L14" s="21">
        <v>45932</v>
      </c>
      <c r="M14" s="22">
        <v>45668</v>
      </c>
      <c r="N14" s="9" t="s">
        <v>298</v>
      </c>
      <c r="O14" s="9">
        <v>1</v>
      </c>
      <c r="P14" s="9" t="s">
        <v>6</v>
      </c>
      <c r="Q14" s="9" t="s">
        <v>215</v>
      </c>
      <c r="R14" s="66" t="s">
        <v>216</v>
      </c>
      <c r="S14" s="61" t="s">
        <v>217</v>
      </c>
      <c r="T14" s="61"/>
      <c r="U14" s="61" t="s">
        <v>4</v>
      </c>
      <c r="V14" s="61"/>
    </row>
    <row r="15" spans="1:22" ht="15" customHeight="1">
      <c r="A15" s="9">
        <v>14</v>
      </c>
      <c r="B15" s="85" t="s">
        <v>301</v>
      </c>
      <c r="C15" s="18" t="s">
        <v>302</v>
      </c>
      <c r="D15" s="9" t="s">
        <v>303</v>
      </c>
      <c r="E15" s="85" t="s">
        <v>304</v>
      </c>
      <c r="F15" s="18" t="s">
        <v>305</v>
      </c>
      <c r="G15" s="19">
        <v>7000</v>
      </c>
      <c r="H15" s="9">
        <v>9</v>
      </c>
      <c r="I15" s="19">
        <v>1958.13</v>
      </c>
      <c r="J15" s="32">
        <v>24623.17</v>
      </c>
      <c r="K15" s="9" t="s">
        <v>214</v>
      </c>
      <c r="L15" s="21">
        <v>45932</v>
      </c>
      <c r="M15" s="22">
        <v>45675</v>
      </c>
      <c r="N15" s="9" t="s">
        <v>303</v>
      </c>
      <c r="O15" s="9">
        <v>1</v>
      </c>
      <c r="P15" s="9" t="s">
        <v>6</v>
      </c>
      <c r="Q15" s="9" t="s">
        <v>215</v>
      </c>
      <c r="R15" s="66" t="s">
        <v>216</v>
      </c>
      <c r="S15" s="61" t="s">
        <v>217</v>
      </c>
      <c r="T15" s="61"/>
      <c r="U15" s="61" t="s">
        <v>4</v>
      </c>
      <c r="V15" s="61"/>
    </row>
    <row r="16" spans="1:22" ht="15" customHeight="1">
      <c r="A16" s="9">
        <v>15</v>
      </c>
      <c r="B16" s="85" t="s">
        <v>306</v>
      </c>
      <c r="C16" s="26" t="s">
        <v>307</v>
      </c>
      <c r="D16" s="50" t="s">
        <v>308</v>
      </c>
      <c r="E16" s="85" t="s">
        <v>309</v>
      </c>
      <c r="F16" s="18" t="s">
        <v>310</v>
      </c>
      <c r="G16" s="19">
        <v>3000</v>
      </c>
      <c r="H16" s="9">
        <v>9</v>
      </c>
      <c r="I16" s="19">
        <v>2274.7800000000002</v>
      </c>
      <c r="J16" s="32">
        <v>23473.02</v>
      </c>
      <c r="K16" s="9" t="s">
        <v>214</v>
      </c>
      <c r="L16" s="9" t="s">
        <v>311</v>
      </c>
      <c r="M16" s="22">
        <v>45692</v>
      </c>
      <c r="N16" s="9" t="s">
        <v>308</v>
      </c>
      <c r="O16" s="9">
        <v>1</v>
      </c>
      <c r="P16" s="9" t="s">
        <v>6</v>
      </c>
      <c r="Q16" s="9" t="s">
        <v>215</v>
      </c>
      <c r="R16" s="66" t="s">
        <v>216</v>
      </c>
      <c r="S16" s="61" t="s">
        <v>217</v>
      </c>
      <c r="T16" s="61"/>
      <c r="U16" s="61" t="s">
        <v>4</v>
      </c>
      <c r="V16" s="61"/>
    </row>
    <row r="17" spans="1:23" ht="15" customHeight="1">
      <c r="A17" s="9">
        <v>16</v>
      </c>
      <c r="B17" s="85" t="s">
        <v>312</v>
      </c>
      <c r="C17" s="9" t="s">
        <v>313</v>
      </c>
      <c r="D17" s="9" t="s">
        <v>314</v>
      </c>
      <c r="E17" s="85" t="s">
        <v>315</v>
      </c>
      <c r="F17" s="18" t="s">
        <v>316</v>
      </c>
      <c r="G17" s="19">
        <v>3000</v>
      </c>
      <c r="H17" s="9">
        <v>8</v>
      </c>
      <c r="I17" s="19">
        <v>2508.7399999999998</v>
      </c>
      <c r="J17" s="32">
        <v>23069.919999999998</v>
      </c>
      <c r="K17" s="9" t="s">
        <v>214</v>
      </c>
      <c r="L17" s="21">
        <v>45933</v>
      </c>
      <c r="M17" s="22">
        <v>45693</v>
      </c>
      <c r="N17" s="9" t="s">
        <v>314</v>
      </c>
      <c r="O17" s="9">
        <v>1</v>
      </c>
      <c r="P17" s="9" t="s">
        <v>6</v>
      </c>
      <c r="Q17" s="9" t="s">
        <v>215</v>
      </c>
      <c r="R17" s="66" t="s">
        <v>317</v>
      </c>
      <c r="S17" s="61" t="s">
        <v>217</v>
      </c>
      <c r="T17" s="61"/>
      <c r="U17" s="61" t="s">
        <v>4</v>
      </c>
      <c r="V17" s="61"/>
    </row>
    <row r="18" spans="1:23" ht="15" customHeight="1">
      <c r="A18" s="9">
        <v>17</v>
      </c>
      <c r="B18" s="85" t="s">
        <v>318</v>
      </c>
      <c r="C18" s="9" t="s">
        <v>319</v>
      </c>
      <c r="D18" s="50" t="s">
        <v>320</v>
      </c>
      <c r="E18" s="85" t="s">
        <v>321</v>
      </c>
      <c r="F18" s="18" t="s">
        <v>322</v>
      </c>
      <c r="G18" s="19">
        <v>3000</v>
      </c>
      <c r="H18" s="9">
        <v>8</v>
      </c>
      <c r="I18" s="19">
        <v>2473.59</v>
      </c>
      <c r="J18" s="32">
        <v>22788.720000000001</v>
      </c>
      <c r="K18" s="9" t="s">
        <v>214</v>
      </c>
      <c r="L18" s="21">
        <v>45933</v>
      </c>
      <c r="M18" s="22">
        <v>45702</v>
      </c>
      <c r="N18" s="9" t="s">
        <v>320</v>
      </c>
      <c r="O18" s="9">
        <v>1</v>
      </c>
      <c r="P18" s="9" t="s">
        <v>3</v>
      </c>
      <c r="Q18" s="9" t="s">
        <v>215</v>
      </c>
      <c r="R18" s="66" t="s">
        <v>216</v>
      </c>
      <c r="S18" s="61" t="s">
        <v>217</v>
      </c>
      <c r="T18" s="61"/>
      <c r="U18" s="61" t="s">
        <v>4</v>
      </c>
      <c r="V18" s="61"/>
    </row>
    <row r="19" spans="1:23" ht="15" customHeight="1">
      <c r="A19" s="9">
        <v>18</v>
      </c>
      <c r="B19" s="85" t="s">
        <v>323</v>
      </c>
      <c r="C19" s="9" t="s">
        <v>324</v>
      </c>
      <c r="D19" s="9">
        <v>41996380098</v>
      </c>
      <c r="E19" s="85" t="s">
        <v>325</v>
      </c>
      <c r="F19" s="18" t="s">
        <v>326</v>
      </c>
      <c r="G19" s="19">
        <v>3000</v>
      </c>
      <c r="H19" s="9">
        <v>8</v>
      </c>
      <c r="I19" s="19">
        <v>2443.4699999999998</v>
      </c>
      <c r="J19" s="32">
        <v>22547.759999999998</v>
      </c>
      <c r="K19" s="9" t="s">
        <v>214</v>
      </c>
      <c r="L19" s="21">
        <v>45933</v>
      </c>
      <c r="M19" s="22">
        <v>45708</v>
      </c>
      <c r="N19" s="9">
        <v>41996380098</v>
      </c>
      <c r="O19" s="9">
        <v>1</v>
      </c>
      <c r="P19" s="9" t="s">
        <v>6</v>
      </c>
      <c r="Q19" s="9" t="s">
        <v>215</v>
      </c>
      <c r="R19" s="66" t="s">
        <v>216</v>
      </c>
      <c r="S19" s="61" t="s">
        <v>217</v>
      </c>
      <c r="T19" s="61"/>
      <c r="U19" s="61" t="s">
        <v>4</v>
      </c>
      <c r="V19" s="61"/>
    </row>
    <row r="20" spans="1:23" ht="15" customHeight="1">
      <c r="A20" s="38">
        <v>19</v>
      </c>
      <c r="B20" s="86" t="s">
        <v>327</v>
      </c>
      <c r="C20" s="49" t="s">
        <v>328</v>
      </c>
      <c r="D20" s="38">
        <v>62984380182</v>
      </c>
      <c r="E20" s="86" t="s">
        <v>329</v>
      </c>
      <c r="F20" s="39" t="s">
        <v>330</v>
      </c>
      <c r="G20" s="40">
        <v>3000</v>
      </c>
      <c r="H20" s="38">
        <v>6</v>
      </c>
      <c r="I20" s="40">
        <v>2836.66</v>
      </c>
      <c r="J20" s="41">
        <v>20519.96</v>
      </c>
      <c r="K20" s="38" t="s">
        <v>214</v>
      </c>
      <c r="L20" s="43">
        <v>45757</v>
      </c>
      <c r="M20" s="43">
        <v>45709</v>
      </c>
      <c r="N20" s="38">
        <v>62984380182</v>
      </c>
      <c r="O20" s="38">
        <v>1</v>
      </c>
      <c r="P20" s="38" t="s">
        <v>6</v>
      </c>
      <c r="Q20" s="38" t="s">
        <v>215</v>
      </c>
      <c r="R20" s="45" t="s">
        <v>216</v>
      </c>
      <c r="S20" s="46" t="s">
        <v>217</v>
      </c>
      <c r="T20" s="46"/>
      <c r="U20" s="61" t="s">
        <v>4</v>
      </c>
      <c r="V20" s="46" t="s">
        <v>331</v>
      </c>
    </row>
    <row r="21" spans="1:23" ht="15" customHeight="1">
      <c r="A21" s="9">
        <v>20</v>
      </c>
      <c r="B21" s="85" t="s">
        <v>332</v>
      </c>
      <c r="C21" s="18" t="s">
        <v>333</v>
      </c>
      <c r="D21" s="9">
        <v>11962293347</v>
      </c>
      <c r="E21" s="85" t="s">
        <v>334</v>
      </c>
      <c r="F21" s="18" t="s">
        <v>335</v>
      </c>
      <c r="G21" s="19">
        <v>3000</v>
      </c>
      <c r="H21" s="9">
        <v>7</v>
      </c>
      <c r="I21" s="19">
        <v>2759.32</v>
      </c>
      <c r="J21" s="32">
        <v>22315.24</v>
      </c>
      <c r="K21" s="9" t="s">
        <v>214</v>
      </c>
      <c r="L21" s="21">
        <v>45933</v>
      </c>
      <c r="M21" s="22">
        <v>45710</v>
      </c>
      <c r="N21" s="9">
        <v>11962293347</v>
      </c>
      <c r="O21" s="9">
        <v>1</v>
      </c>
      <c r="P21" s="9" t="s">
        <v>6</v>
      </c>
      <c r="Q21" s="9" t="s">
        <v>336</v>
      </c>
      <c r="R21" s="66" t="s">
        <v>217</v>
      </c>
      <c r="S21" s="61" t="s">
        <v>217</v>
      </c>
      <c r="T21" s="61"/>
      <c r="U21" s="61" t="s">
        <v>4</v>
      </c>
      <c r="V21" s="61"/>
    </row>
    <row r="22" spans="1:23" ht="15" customHeight="1">
      <c r="A22" s="9">
        <v>21</v>
      </c>
      <c r="B22" s="85" t="s">
        <v>337</v>
      </c>
      <c r="C22" s="18" t="s">
        <v>338</v>
      </c>
      <c r="D22" s="50" t="s">
        <v>339</v>
      </c>
      <c r="E22" s="85" t="s">
        <v>340</v>
      </c>
      <c r="F22" s="18" t="s">
        <v>341</v>
      </c>
      <c r="G22" s="19">
        <v>3000</v>
      </c>
      <c r="H22" s="9">
        <v>7</v>
      </c>
      <c r="I22" s="19" t="s">
        <v>342</v>
      </c>
      <c r="J22" s="32">
        <v>21888</v>
      </c>
      <c r="K22" s="9" t="s">
        <v>214</v>
      </c>
      <c r="L22" s="21">
        <v>45934</v>
      </c>
      <c r="M22" s="22">
        <v>45731</v>
      </c>
      <c r="N22" s="9" t="s">
        <v>339</v>
      </c>
      <c r="O22" s="9">
        <v>2</v>
      </c>
      <c r="P22" s="9" t="s">
        <v>3</v>
      </c>
      <c r="Q22" s="9" t="s">
        <v>215</v>
      </c>
      <c r="R22" s="66" t="s">
        <v>217</v>
      </c>
      <c r="S22" s="61" t="s">
        <v>217</v>
      </c>
      <c r="T22" s="61"/>
      <c r="U22" s="61" t="s">
        <v>4</v>
      </c>
      <c r="V22" s="61"/>
    </row>
    <row r="23" spans="1:23" ht="15" customHeight="1">
      <c r="A23" s="9">
        <v>22</v>
      </c>
      <c r="B23" s="85" t="s">
        <v>343</v>
      </c>
      <c r="C23" s="18" t="s">
        <v>344</v>
      </c>
      <c r="D23" s="9" t="s">
        <v>345</v>
      </c>
      <c r="E23" s="85" t="s">
        <v>346</v>
      </c>
      <c r="F23" s="18" t="s">
        <v>347</v>
      </c>
      <c r="G23" s="19">
        <v>10000</v>
      </c>
      <c r="H23" s="9">
        <v>7</v>
      </c>
      <c r="I23" s="19" t="s">
        <v>348</v>
      </c>
      <c r="J23" s="32">
        <v>22938.59</v>
      </c>
      <c r="K23" s="9" t="s">
        <v>214</v>
      </c>
      <c r="L23" s="21">
        <v>45934</v>
      </c>
      <c r="M23" s="22">
        <v>45733</v>
      </c>
      <c r="N23" s="9" t="s">
        <v>345</v>
      </c>
      <c r="O23" s="9">
        <v>2</v>
      </c>
      <c r="P23" s="9" t="s">
        <v>3</v>
      </c>
      <c r="Q23" s="9" t="s">
        <v>215</v>
      </c>
      <c r="R23" s="66" t="s">
        <v>217</v>
      </c>
      <c r="S23" s="61" t="s">
        <v>217</v>
      </c>
      <c r="T23" s="61"/>
      <c r="U23" s="61" t="s">
        <v>4</v>
      </c>
      <c r="V23" s="61"/>
    </row>
    <row r="24" spans="1:23" ht="15" customHeight="1">
      <c r="A24" s="9">
        <v>23</v>
      </c>
      <c r="B24" s="89" t="s">
        <v>349</v>
      </c>
      <c r="C24" s="11" t="s">
        <v>350</v>
      </c>
      <c r="D24" s="10" t="s">
        <v>96</v>
      </c>
      <c r="E24" s="90" t="s">
        <v>351</v>
      </c>
      <c r="F24" s="11" t="s">
        <v>352</v>
      </c>
      <c r="G24" s="12">
        <v>18340.32</v>
      </c>
      <c r="H24" s="10">
        <v>1</v>
      </c>
      <c r="I24" s="12">
        <v>659.58</v>
      </c>
      <c r="J24" s="32">
        <v>19000</v>
      </c>
      <c r="K24" s="10" t="s">
        <v>214</v>
      </c>
      <c r="L24" s="10" t="s">
        <v>353</v>
      </c>
      <c r="M24" s="10"/>
      <c r="N24" s="10" t="s">
        <v>96</v>
      </c>
      <c r="O24" s="10" t="s">
        <v>354</v>
      </c>
      <c r="P24" s="10" t="s">
        <v>3</v>
      </c>
      <c r="Q24" s="10" t="s">
        <v>354</v>
      </c>
      <c r="R24" s="66" t="s">
        <v>217</v>
      </c>
      <c r="S24" s="61" t="s">
        <v>217</v>
      </c>
      <c r="T24" s="63"/>
      <c r="U24" s="61" t="s">
        <v>4</v>
      </c>
      <c r="V24" s="64" t="s">
        <v>355</v>
      </c>
    </row>
    <row r="25" spans="1:23" ht="15" customHeight="1">
      <c r="A25" s="9">
        <v>24</v>
      </c>
      <c r="B25" s="87" t="s">
        <v>356</v>
      </c>
      <c r="C25" s="11" t="s">
        <v>357</v>
      </c>
      <c r="D25" s="128" t="s">
        <v>358</v>
      </c>
      <c r="E25" s="90" t="s">
        <v>359</v>
      </c>
      <c r="F25" s="11" t="s">
        <v>360</v>
      </c>
      <c r="G25" s="12">
        <v>3000</v>
      </c>
      <c r="H25" s="10">
        <v>6</v>
      </c>
      <c r="I25" s="12" t="s">
        <v>361</v>
      </c>
      <c r="J25" s="33" t="s">
        <v>362</v>
      </c>
      <c r="K25" s="10" t="s">
        <v>214</v>
      </c>
      <c r="L25" s="21">
        <v>45934</v>
      </c>
      <c r="M25" s="27">
        <v>45743</v>
      </c>
      <c r="N25" s="28" t="s">
        <v>358</v>
      </c>
      <c r="O25" s="10">
        <v>2</v>
      </c>
      <c r="P25" s="9" t="s">
        <v>6</v>
      </c>
      <c r="Q25" s="9" t="s">
        <v>215</v>
      </c>
      <c r="R25" s="68" t="s">
        <v>217</v>
      </c>
      <c r="S25" s="63" t="s">
        <v>217</v>
      </c>
      <c r="T25" s="63"/>
      <c r="U25" s="61" t="s">
        <v>4</v>
      </c>
      <c r="V25" s="63"/>
    </row>
    <row r="26" spans="1:23" ht="15" customHeight="1">
      <c r="A26" s="9">
        <v>25</v>
      </c>
      <c r="B26" s="88" t="s">
        <v>363</v>
      </c>
      <c r="C26" s="13" t="s">
        <v>364</v>
      </c>
      <c r="D26" s="128" t="s">
        <v>365</v>
      </c>
      <c r="E26" s="117" t="s">
        <v>366</v>
      </c>
      <c r="F26" s="11" t="s">
        <v>367</v>
      </c>
      <c r="G26" s="12">
        <v>3000</v>
      </c>
      <c r="H26" s="10">
        <v>6</v>
      </c>
      <c r="I26" s="12">
        <v>3422.22</v>
      </c>
      <c r="J26" s="33" t="s">
        <v>368</v>
      </c>
      <c r="K26" s="10" t="s">
        <v>214</v>
      </c>
      <c r="L26" s="21">
        <v>45934</v>
      </c>
      <c r="M26" s="27">
        <v>45747</v>
      </c>
      <c r="N26" s="30" t="s">
        <v>365</v>
      </c>
      <c r="O26" s="10">
        <v>2</v>
      </c>
      <c r="P26" s="9" t="s">
        <v>6</v>
      </c>
      <c r="Q26" s="9" t="s">
        <v>215</v>
      </c>
      <c r="R26" s="68" t="s">
        <v>216</v>
      </c>
      <c r="S26" s="63" t="s">
        <v>217</v>
      </c>
      <c r="T26" s="63"/>
      <c r="U26" s="61" t="s">
        <v>4</v>
      </c>
      <c r="V26" s="63"/>
    </row>
    <row r="27" spans="1:23">
      <c r="A27" s="9">
        <v>26</v>
      </c>
      <c r="B27" s="90" t="s">
        <v>369</v>
      </c>
      <c r="C27" s="11" t="s">
        <v>370</v>
      </c>
      <c r="D27" s="129" t="s">
        <v>371</v>
      </c>
      <c r="E27" s="90" t="s">
        <v>372</v>
      </c>
      <c r="F27" s="11" t="s">
        <v>373</v>
      </c>
      <c r="G27" s="12">
        <v>5000</v>
      </c>
      <c r="H27" s="10">
        <v>6</v>
      </c>
      <c r="I27" s="12">
        <v>3141.9</v>
      </c>
      <c r="J27" s="33" t="s">
        <v>374</v>
      </c>
      <c r="K27" s="10" t="s">
        <v>214</v>
      </c>
      <c r="L27" s="21">
        <v>45935</v>
      </c>
      <c r="M27" s="27">
        <v>45761</v>
      </c>
      <c r="N27" s="29" t="s">
        <v>371</v>
      </c>
      <c r="O27" s="10">
        <v>2</v>
      </c>
      <c r="P27" s="10" t="s">
        <v>3</v>
      </c>
      <c r="Q27" s="9" t="s">
        <v>215</v>
      </c>
      <c r="R27" s="68" t="s">
        <v>216</v>
      </c>
      <c r="S27" s="63" t="s">
        <v>217</v>
      </c>
      <c r="T27" s="63"/>
      <c r="U27" s="61" t="s">
        <v>4</v>
      </c>
      <c r="V27" s="63"/>
    </row>
    <row r="28" spans="1:23" ht="15" customHeight="1">
      <c r="A28" s="9">
        <v>27</v>
      </c>
      <c r="B28" s="90" t="s">
        <v>375</v>
      </c>
      <c r="C28" s="11" t="s">
        <v>376</v>
      </c>
      <c r="D28" s="10" t="s">
        <v>377</v>
      </c>
      <c r="E28" s="118" t="s">
        <v>378</v>
      </c>
      <c r="F28" s="10" t="s">
        <v>379</v>
      </c>
      <c r="G28" s="12">
        <v>5000</v>
      </c>
      <c r="H28" s="10">
        <v>6</v>
      </c>
      <c r="I28" s="12">
        <v>3052.22</v>
      </c>
      <c r="J28" s="33" t="s">
        <v>380</v>
      </c>
      <c r="K28" s="10" t="s">
        <v>214</v>
      </c>
      <c r="L28" s="27">
        <v>45787</v>
      </c>
      <c r="M28" s="27">
        <v>45762</v>
      </c>
      <c r="N28" s="10" t="s">
        <v>377</v>
      </c>
      <c r="O28" s="10">
        <v>2</v>
      </c>
      <c r="P28" s="9" t="s">
        <v>6</v>
      </c>
      <c r="Q28" s="9" t="s">
        <v>215</v>
      </c>
      <c r="R28" s="68" t="s">
        <v>381</v>
      </c>
      <c r="S28" s="63" t="s">
        <v>217</v>
      </c>
      <c r="T28" s="63"/>
      <c r="U28" s="61" t="s">
        <v>4</v>
      </c>
      <c r="V28" s="63"/>
    </row>
    <row r="29" spans="1:23" ht="15" customHeight="1">
      <c r="A29" s="9">
        <v>28</v>
      </c>
      <c r="B29" s="85" t="s">
        <v>382</v>
      </c>
      <c r="C29" s="11" t="s">
        <v>383</v>
      </c>
      <c r="D29" s="128" t="s">
        <v>384</v>
      </c>
      <c r="E29" s="90" t="s">
        <v>385</v>
      </c>
      <c r="F29" s="11" t="s">
        <v>386</v>
      </c>
      <c r="G29" s="12">
        <v>3000</v>
      </c>
      <c r="H29" s="10">
        <v>6</v>
      </c>
      <c r="I29" s="12">
        <v>3415.32</v>
      </c>
      <c r="J29" s="33" t="s">
        <v>362</v>
      </c>
      <c r="K29" s="10" t="s">
        <v>214</v>
      </c>
      <c r="L29" s="27">
        <v>45787</v>
      </c>
      <c r="M29" s="27">
        <v>45770</v>
      </c>
      <c r="N29" s="10" t="s">
        <v>384</v>
      </c>
      <c r="O29" s="10">
        <v>2</v>
      </c>
      <c r="P29" s="9" t="s">
        <v>6</v>
      </c>
      <c r="Q29" s="9" t="s">
        <v>215</v>
      </c>
      <c r="R29" s="68" t="s">
        <v>217</v>
      </c>
      <c r="S29" s="63" t="s">
        <v>217</v>
      </c>
      <c r="T29" s="63"/>
      <c r="U29" s="61" t="s">
        <v>4</v>
      </c>
      <c r="V29" s="63"/>
    </row>
    <row r="30" spans="1:23" ht="15" customHeight="1">
      <c r="A30" s="9">
        <v>29</v>
      </c>
      <c r="B30" s="90" t="s">
        <v>387</v>
      </c>
      <c r="C30" s="11">
        <v>12342265611</v>
      </c>
      <c r="D30" s="128" t="s">
        <v>388</v>
      </c>
      <c r="E30" s="90" t="s">
        <v>389</v>
      </c>
      <c r="F30" s="11" t="s">
        <v>390</v>
      </c>
      <c r="G30" s="12">
        <v>3000</v>
      </c>
      <c r="H30" s="10">
        <v>6</v>
      </c>
      <c r="I30" s="12">
        <v>3300</v>
      </c>
      <c r="J30" s="33" t="s">
        <v>391</v>
      </c>
      <c r="K30" s="10" t="s">
        <v>214</v>
      </c>
      <c r="L30" s="27">
        <v>45787</v>
      </c>
      <c r="M30" s="27">
        <v>45777</v>
      </c>
      <c r="N30" s="10" t="s">
        <v>388</v>
      </c>
      <c r="O30" s="10">
        <v>2</v>
      </c>
      <c r="P30" s="9" t="s">
        <v>6</v>
      </c>
      <c r="Q30" s="9" t="s">
        <v>215</v>
      </c>
      <c r="R30" s="68" t="s">
        <v>217</v>
      </c>
      <c r="S30" s="63" t="s">
        <v>217</v>
      </c>
      <c r="T30" s="63"/>
      <c r="U30" s="61" t="s">
        <v>4</v>
      </c>
      <c r="V30" s="63"/>
    </row>
    <row r="31" spans="1:23" ht="15" customHeight="1">
      <c r="A31" s="38">
        <v>30</v>
      </c>
      <c r="B31" s="86" t="s">
        <v>392</v>
      </c>
      <c r="C31" s="39" t="s">
        <v>393</v>
      </c>
      <c r="D31" s="38" t="s">
        <v>394</v>
      </c>
      <c r="E31" s="86" t="s">
        <v>395</v>
      </c>
      <c r="F31" s="39" t="s">
        <v>396</v>
      </c>
      <c r="G31" s="40">
        <v>3000</v>
      </c>
      <c r="H31" s="38">
        <v>1</v>
      </c>
      <c r="I31" s="40">
        <v>3000</v>
      </c>
      <c r="J31" s="44" t="s">
        <v>397</v>
      </c>
      <c r="K31" s="38" t="s">
        <v>398</v>
      </c>
      <c r="L31" s="38" t="s">
        <v>399</v>
      </c>
      <c r="M31" s="38" t="s">
        <v>399</v>
      </c>
      <c r="N31" s="38" t="s">
        <v>394</v>
      </c>
      <c r="O31" s="38">
        <v>2</v>
      </c>
      <c r="P31" s="38" t="s">
        <v>3</v>
      </c>
      <c r="Q31" s="38" t="s">
        <v>215</v>
      </c>
      <c r="R31" s="45" t="s">
        <v>400</v>
      </c>
      <c r="S31" s="46" t="s">
        <v>217</v>
      </c>
      <c r="T31" s="46"/>
      <c r="U31" s="61" t="s">
        <v>4</v>
      </c>
      <c r="V31" s="46" t="s">
        <v>401</v>
      </c>
      <c r="W31" s="55" t="s">
        <v>402</v>
      </c>
    </row>
    <row r="32" spans="1:23" ht="14.25" customHeight="1">
      <c r="A32" s="9">
        <v>31</v>
      </c>
      <c r="B32" s="85" t="s">
        <v>403</v>
      </c>
      <c r="C32" s="11" t="s">
        <v>404</v>
      </c>
      <c r="D32" s="10" t="s">
        <v>405</v>
      </c>
      <c r="E32" s="90" t="s">
        <v>406</v>
      </c>
      <c r="F32" s="11" t="s">
        <v>407</v>
      </c>
      <c r="G32" s="12">
        <v>12000</v>
      </c>
      <c r="H32" s="10">
        <v>5</v>
      </c>
      <c r="I32" s="12">
        <v>1951.2</v>
      </c>
      <c r="J32" s="33" t="s">
        <v>408</v>
      </c>
      <c r="K32" s="10" t="s">
        <v>214</v>
      </c>
      <c r="L32" s="27">
        <v>45818</v>
      </c>
      <c r="M32" s="27">
        <v>45807</v>
      </c>
      <c r="N32" s="10" t="s">
        <v>405</v>
      </c>
      <c r="O32" s="10">
        <v>2</v>
      </c>
      <c r="P32" s="9" t="s">
        <v>6</v>
      </c>
      <c r="Q32" s="9" t="s">
        <v>215</v>
      </c>
      <c r="R32" s="68" t="s">
        <v>216</v>
      </c>
      <c r="S32" s="63"/>
      <c r="T32" s="63"/>
      <c r="U32" s="61" t="s">
        <v>4</v>
      </c>
      <c r="V32" s="63"/>
    </row>
    <row r="33" spans="1:22" ht="15" customHeight="1">
      <c r="A33" s="9">
        <v>32</v>
      </c>
      <c r="B33" s="85" t="s">
        <v>409</v>
      </c>
      <c r="C33" s="11" t="s">
        <v>410</v>
      </c>
      <c r="D33" s="10" t="s">
        <v>411</v>
      </c>
      <c r="E33" s="90" t="s">
        <v>412</v>
      </c>
      <c r="F33" s="11" t="s">
        <v>413</v>
      </c>
      <c r="G33" s="12">
        <v>3000</v>
      </c>
      <c r="H33" s="10">
        <v>4</v>
      </c>
      <c r="I33" s="31" t="s">
        <v>414</v>
      </c>
      <c r="J33" s="33" t="s">
        <v>415</v>
      </c>
      <c r="K33" s="10" t="s">
        <v>214</v>
      </c>
      <c r="L33" s="27">
        <v>45848</v>
      </c>
      <c r="M33" s="27">
        <v>45812</v>
      </c>
      <c r="N33" s="10" t="s">
        <v>411</v>
      </c>
      <c r="O33" s="10">
        <v>2</v>
      </c>
      <c r="P33" s="10" t="s">
        <v>3</v>
      </c>
      <c r="Q33" s="9" t="s">
        <v>215</v>
      </c>
      <c r="R33" s="68" t="s">
        <v>317</v>
      </c>
      <c r="S33" s="63" t="s">
        <v>217</v>
      </c>
      <c r="T33" s="63"/>
      <c r="U33" s="61" t="s">
        <v>4</v>
      </c>
      <c r="V33" s="63"/>
    </row>
    <row r="34" spans="1:22" ht="15" customHeight="1">
      <c r="A34" s="9">
        <v>33</v>
      </c>
      <c r="B34" s="90" t="s">
        <v>416</v>
      </c>
      <c r="C34" s="11" t="s">
        <v>417</v>
      </c>
      <c r="D34" s="128" t="s">
        <v>418</v>
      </c>
      <c r="E34" s="90" t="s">
        <v>419</v>
      </c>
      <c r="F34" s="11" t="s">
        <v>420</v>
      </c>
      <c r="G34" s="12">
        <v>3000</v>
      </c>
      <c r="H34" s="10">
        <v>4</v>
      </c>
      <c r="I34" s="12">
        <v>4721.8999999999996</v>
      </c>
      <c r="J34" s="33" t="s">
        <v>421</v>
      </c>
      <c r="K34" s="10" t="s">
        <v>214</v>
      </c>
      <c r="L34" s="27">
        <v>45910</v>
      </c>
      <c r="M34" s="27">
        <v>45879</v>
      </c>
      <c r="N34" s="10" t="s">
        <v>418</v>
      </c>
      <c r="O34" s="10">
        <v>2</v>
      </c>
      <c r="P34" s="9" t="s">
        <v>6</v>
      </c>
      <c r="Q34" s="9" t="s">
        <v>215</v>
      </c>
      <c r="R34" s="68" t="s">
        <v>422</v>
      </c>
      <c r="S34" s="63"/>
      <c r="T34" s="63"/>
      <c r="U34" s="61" t="s">
        <v>4</v>
      </c>
      <c r="V34" s="63"/>
    </row>
    <row r="35" spans="1:22" ht="15" customHeight="1">
      <c r="A35" s="9">
        <v>34</v>
      </c>
      <c r="B35" s="85" t="s">
        <v>423</v>
      </c>
      <c r="C35" s="18" t="s">
        <v>424</v>
      </c>
      <c r="D35" s="9" t="s">
        <v>425</v>
      </c>
      <c r="E35" s="85" t="s">
        <v>426</v>
      </c>
      <c r="F35" s="18" t="s">
        <v>427</v>
      </c>
      <c r="G35" s="19">
        <v>4000</v>
      </c>
      <c r="H35" s="9">
        <v>1</v>
      </c>
      <c r="I35" s="19" t="s">
        <v>428</v>
      </c>
      <c r="J35" s="34" t="s">
        <v>429</v>
      </c>
      <c r="K35" s="9" t="s">
        <v>430</v>
      </c>
      <c r="L35" s="22">
        <v>45877</v>
      </c>
      <c r="M35" s="22">
        <v>45874</v>
      </c>
      <c r="N35" s="9" t="s">
        <v>425</v>
      </c>
      <c r="O35" s="9">
        <v>1</v>
      </c>
      <c r="P35" s="9" t="s">
        <v>6</v>
      </c>
      <c r="Q35" s="9" t="s">
        <v>215</v>
      </c>
      <c r="R35" s="68" t="s">
        <v>431</v>
      </c>
      <c r="S35" s="63" t="s">
        <v>217</v>
      </c>
      <c r="T35" s="61"/>
      <c r="U35" s="61" t="s">
        <v>4</v>
      </c>
      <c r="V35" s="61"/>
    </row>
    <row r="36" spans="1:22" ht="15" customHeight="1">
      <c r="A36" s="9">
        <v>35</v>
      </c>
      <c r="B36" s="90" t="s">
        <v>432</v>
      </c>
      <c r="C36" s="11" t="s">
        <v>433</v>
      </c>
      <c r="D36" s="11" t="s">
        <v>434</v>
      </c>
      <c r="E36" s="90" t="s">
        <v>435</v>
      </c>
      <c r="F36" s="11" t="s">
        <v>436</v>
      </c>
      <c r="G36" s="12">
        <v>2000</v>
      </c>
      <c r="H36" s="10">
        <v>4</v>
      </c>
      <c r="I36" s="12">
        <v>4670.01</v>
      </c>
      <c r="J36" s="35" t="s">
        <v>437</v>
      </c>
      <c r="K36" s="10" t="s">
        <v>214</v>
      </c>
      <c r="L36" s="27">
        <v>45910</v>
      </c>
      <c r="M36" s="27">
        <v>45879</v>
      </c>
      <c r="N36" s="11" t="s">
        <v>434</v>
      </c>
      <c r="O36" s="10">
        <v>1</v>
      </c>
      <c r="P36" s="9" t="s">
        <v>6</v>
      </c>
      <c r="Q36" s="9" t="s">
        <v>215</v>
      </c>
      <c r="R36" s="68" t="s">
        <v>438</v>
      </c>
      <c r="S36" s="63" t="s">
        <v>217</v>
      </c>
      <c r="T36" s="63"/>
      <c r="U36" s="61" t="s">
        <v>4</v>
      </c>
      <c r="V36" s="63"/>
    </row>
    <row r="37" spans="1:22" ht="15" customHeight="1">
      <c r="A37" s="10">
        <v>36</v>
      </c>
      <c r="B37" s="90" t="s">
        <v>439</v>
      </c>
      <c r="C37" s="11" t="s">
        <v>440</v>
      </c>
      <c r="D37" s="11" t="s">
        <v>441</v>
      </c>
      <c r="E37" s="90" t="s">
        <v>442</v>
      </c>
      <c r="F37" s="11" t="s">
        <v>443</v>
      </c>
      <c r="G37" s="12">
        <v>500</v>
      </c>
      <c r="H37" s="10">
        <v>1</v>
      </c>
      <c r="I37" s="12" t="s">
        <v>444</v>
      </c>
      <c r="J37" s="10" t="s">
        <v>445</v>
      </c>
      <c r="K37" s="10" t="s">
        <v>268</v>
      </c>
      <c r="L37" s="27">
        <v>45842</v>
      </c>
      <c r="M37" s="27">
        <v>45842</v>
      </c>
      <c r="N37" s="11" t="s">
        <v>446</v>
      </c>
      <c r="O37" s="10">
        <v>1</v>
      </c>
      <c r="P37" s="10" t="s">
        <v>12</v>
      </c>
      <c r="Q37" s="10" t="s">
        <v>447</v>
      </c>
      <c r="R37" s="68" t="s">
        <v>431</v>
      </c>
      <c r="S37" s="63" t="s">
        <v>217</v>
      </c>
      <c r="T37" s="63"/>
      <c r="U37" s="63" t="s">
        <v>4</v>
      </c>
      <c r="V37" s="63" t="s">
        <v>448</v>
      </c>
    </row>
    <row r="38" spans="1:22" ht="15" customHeight="1">
      <c r="A38" s="10">
        <v>37</v>
      </c>
      <c r="B38" s="85" t="s">
        <v>449</v>
      </c>
      <c r="C38" s="10" t="s">
        <v>450</v>
      </c>
      <c r="D38" s="10">
        <v>18434995083</v>
      </c>
      <c r="E38" s="90" t="s">
        <v>451</v>
      </c>
      <c r="F38" s="11" t="s">
        <v>452</v>
      </c>
      <c r="G38" s="12">
        <v>3000</v>
      </c>
      <c r="H38" s="10">
        <v>4</v>
      </c>
      <c r="I38" s="12" t="s">
        <v>453</v>
      </c>
      <c r="J38" s="36" t="s">
        <v>454</v>
      </c>
      <c r="K38" s="10" t="s">
        <v>214</v>
      </c>
      <c r="L38" s="27">
        <v>45910</v>
      </c>
      <c r="M38" s="27">
        <v>45889</v>
      </c>
      <c r="N38" s="10" t="s">
        <v>455</v>
      </c>
      <c r="O38" s="10">
        <v>1</v>
      </c>
      <c r="P38" s="9" t="s">
        <v>6</v>
      </c>
      <c r="Q38" s="9" t="s">
        <v>215</v>
      </c>
      <c r="R38" s="68" t="s">
        <v>438</v>
      </c>
      <c r="S38" s="63" t="s">
        <v>217</v>
      </c>
      <c r="T38" s="63"/>
      <c r="U38" s="63" t="s">
        <v>4</v>
      </c>
      <c r="V38" s="63"/>
    </row>
    <row r="39" spans="1:22" ht="15" customHeight="1">
      <c r="A39" s="10">
        <v>38</v>
      </c>
      <c r="B39" s="90" t="s">
        <v>456</v>
      </c>
      <c r="C39" s="10" t="s">
        <v>457</v>
      </c>
      <c r="D39" s="10" t="s">
        <v>458</v>
      </c>
      <c r="E39" s="90" t="s">
        <v>459</v>
      </c>
      <c r="F39" s="11" t="s">
        <v>460</v>
      </c>
      <c r="G39" s="12">
        <v>3000</v>
      </c>
      <c r="H39" s="10" t="s">
        <v>461</v>
      </c>
      <c r="I39" s="12">
        <v>16500</v>
      </c>
      <c r="J39" s="36" t="s">
        <v>462</v>
      </c>
      <c r="K39" s="10" t="s">
        <v>463</v>
      </c>
      <c r="L39" s="10"/>
      <c r="M39" s="10" t="s">
        <v>464</v>
      </c>
      <c r="N39" s="10" t="s">
        <v>458</v>
      </c>
      <c r="O39" s="10">
        <v>1</v>
      </c>
      <c r="P39" s="9" t="s">
        <v>6</v>
      </c>
      <c r="Q39" s="9" t="s">
        <v>465</v>
      </c>
      <c r="R39" s="68" t="s">
        <v>400</v>
      </c>
      <c r="S39" s="63" t="s">
        <v>217</v>
      </c>
      <c r="T39" s="63"/>
      <c r="U39" s="63" t="s">
        <v>4</v>
      </c>
      <c r="V39" s="63"/>
    </row>
    <row r="40" spans="1:22" ht="15" customHeight="1">
      <c r="A40" s="10">
        <v>39</v>
      </c>
      <c r="B40" s="90" t="s">
        <v>466</v>
      </c>
      <c r="C40" s="10">
        <v>80348718004</v>
      </c>
      <c r="D40" s="10" t="s">
        <v>467</v>
      </c>
      <c r="E40" s="90" t="s">
        <v>468</v>
      </c>
      <c r="F40" s="11" t="s">
        <v>469</v>
      </c>
      <c r="G40" s="12">
        <v>3000</v>
      </c>
      <c r="H40" s="10" t="s">
        <v>461</v>
      </c>
      <c r="I40" s="12">
        <v>16500</v>
      </c>
      <c r="J40" s="36" t="s">
        <v>462</v>
      </c>
      <c r="K40" s="10" t="s">
        <v>463</v>
      </c>
      <c r="L40" s="10"/>
      <c r="M40" s="10" t="s">
        <v>470</v>
      </c>
      <c r="N40" s="10" t="s">
        <v>467</v>
      </c>
      <c r="O40" s="10">
        <v>1</v>
      </c>
      <c r="P40" s="9" t="s">
        <v>3</v>
      </c>
      <c r="Q40" s="9" t="s">
        <v>215</v>
      </c>
      <c r="R40" s="68" t="s">
        <v>400</v>
      </c>
      <c r="S40" s="63" t="s">
        <v>217</v>
      </c>
      <c r="T40" s="63"/>
      <c r="U40" s="61" t="s">
        <v>4</v>
      </c>
      <c r="V40" s="63"/>
    </row>
    <row r="41" spans="1:22" ht="15" customHeight="1">
      <c r="A41" s="50">
        <v>40</v>
      </c>
      <c r="B41" s="91" t="s">
        <v>471</v>
      </c>
      <c r="C41" s="50">
        <v>88456714291</v>
      </c>
      <c r="D41" s="50" t="s">
        <v>472</v>
      </c>
      <c r="E41" s="91" t="s">
        <v>473</v>
      </c>
      <c r="F41" s="51" t="s">
        <v>474</v>
      </c>
      <c r="G41" s="52">
        <v>3000</v>
      </c>
      <c r="H41" s="50">
        <v>4</v>
      </c>
      <c r="I41" s="52">
        <v>4146</v>
      </c>
      <c r="J41" s="53" t="s">
        <v>475</v>
      </c>
      <c r="K41" s="50" t="s">
        <v>214</v>
      </c>
      <c r="L41" s="54">
        <v>45910</v>
      </c>
      <c r="M41" s="54" t="s">
        <v>476</v>
      </c>
      <c r="N41" s="50" t="s">
        <v>477</v>
      </c>
      <c r="O41" s="50">
        <v>1</v>
      </c>
      <c r="P41" s="50" t="s">
        <v>3</v>
      </c>
      <c r="Q41" s="50" t="s">
        <v>478</v>
      </c>
      <c r="R41" s="69" t="s">
        <v>217</v>
      </c>
      <c r="S41" s="65"/>
      <c r="T41" s="65"/>
      <c r="U41" s="61" t="s">
        <v>4</v>
      </c>
      <c r="V41" s="65"/>
    </row>
    <row r="42" spans="1:22" ht="15" customHeight="1">
      <c r="A42" s="10">
        <v>41</v>
      </c>
      <c r="B42" s="85" t="s">
        <v>479</v>
      </c>
      <c r="C42" s="10" t="s">
        <v>480</v>
      </c>
      <c r="D42" s="10">
        <v>15085988209</v>
      </c>
      <c r="E42" s="90" t="s">
        <v>481</v>
      </c>
      <c r="F42" s="10" t="s">
        <v>482</v>
      </c>
      <c r="G42" s="12">
        <v>3000</v>
      </c>
      <c r="H42" s="10">
        <v>4</v>
      </c>
      <c r="I42" s="12">
        <v>4380</v>
      </c>
      <c r="J42" s="36" t="s">
        <v>483</v>
      </c>
      <c r="K42" s="10" t="s">
        <v>214</v>
      </c>
      <c r="L42" s="27">
        <v>45910</v>
      </c>
      <c r="M42" s="27" t="s">
        <v>476</v>
      </c>
      <c r="N42" s="10" t="s">
        <v>484</v>
      </c>
      <c r="O42" s="10">
        <v>2</v>
      </c>
      <c r="P42" s="10" t="s">
        <v>3</v>
      </c>
      <c r="Q42" s="10" t="s">
        <v>46</v>
      </c>
      <c r="R42" s="68" t="s">
        <v>216</v>
      </c>
      <c r="S42" s="63" t="s">
        <v>217</v>
      </c>
      <c r="T42" s="63"/>
      <c r="U42" s="61" t="s">
        <v>4</v>
      </c>
      <c r="V42" s="63"/>
    </row>
    <row r="43" spans="1:22" ht="15" customHeight="1">
      <c r="A43" s="10">
        <v>42</v>
      </c>
      <c r="B43" s="85" t="s">
        <v>485</v>
      </c>
      <c r="C43" s="10" t="s">
        <v>486</v>
      </c>
      <c r="D43" s="128" t="s">
        <v>487</v>
      </c>
      <c r="E43" s="90" t="s">
        <v>488</v>
      </c>
      <c r="F43" s="11" t="s">
        <v>489</v>
      </c>
      <c r="G43" s="12">
        <v>3000</v>
      </c>
      <c r="H43" s="10">
        <v>4</v>
      </c>
      <c r="I43" s="12">
        <v>4412.58</v>
      </c>
      <c r="J43" s="36" t="s">
        <v>490</v>
      </c>
      <c r="K43" s="10" t="s">
        <v>214</v>
      </c>
      <c r="L43" s="27">
        <v>45920</v>
      </c>
      <c r="M43" s="10" t="s">
        <v>491</v>
      </c>
      <c r="N43" s="10" t="s">
        <v>487</v>
      </c>
      <c r="O43" s="10">
        <v>2</v>
      </c>
      <c r="P43" s="10" t="s">
        <v>6</v>
      </c>
      <c r="Q43" s="10" t="s">
        <v>46</v>
      </c>
      <c r="R43" s="68" t="s">
        <v>217</v>
      </c>
      <c r="S43" s="63" t="s">
        <v>217</v>
      </c>
      <c r="T43" s="63"/>
      <c r="U43" s="63" t="s">
        <v>4</v>
      </c>
      <c r="V43" s="63"/>
    </row>
    <row r="44" spans="1:22" ht="15" customHeight="1">
      <c r="A44" s="10">
        <v>43</v>
      </c>
      <c r="B44" s="90" t="s">
        <v>492</v>
      </c>
      <c r="C44" s="10" t="s">
        <v>493</v>
      </c>
      <c r="D44" s="10" t="s">
        <v>494</v>
      </c>
      <c r="E44" s="90" t="s">
        <v>495</v>
      </c>
      <c r="F44" s="37" t="s">
        <v>496</v>
      </c>
      <c r="G44" s="12">
        <v>2000</v>
      </c>
      <c r="H44" s="10">
        <v>4</v>
      </c>
      <c r="I44" s="12">
        <v>4884.8</v>
      </c>
      <c r="J44" s="36" t="s">
        <v>497</v>
      </c>
      <c r="K44" s="10" t="s">
        <v>214</v>
      </c>
      <c r="L44" s="27">
        <v>45910</v>
      </c>
      <c r="M44" s="27">
        <v>45905</v>
      </c>
      <c r="N44" s="10" t="s">
        <v>494</v>
      </c>
      <c r="O44" s="10">
        <v>2</v>
      </c>
      <c r="P44" s="10" t="s">
        <v>6</v>
      </c>
      <c r="Q44" s="10" t="s">
        <v>46</v>
      </c>
      <c r="R44" s="68" t="s">
        <v>217</v>
      </c>
      <c r="S44" s="63" t="s">
        <v>217</v>
      </c>
      <c r="T44" s="63"/>
      <c r="U44" s="63" t="s">
        <v>4</v>
      </c>
      <c r="V44" s="63"/>
    </row>
    <row r="45" spans="1:22" ht="15" customHeight="1">
      <c r="A45" s="38">
        <v>44</v>
      </c>
      <c r="B45" s="86" t="s">
        <v>498</v>
      </c>
      <c r="C45" s="38" t="s">
        <v>499</v>
      </c>
      <c r="D45" s="38" t="s">
        <v>500</v>
      </c>
      <c r="E45" s="38" t="s">
        <v>501</v>
      </c>
      <c r="F45" s="39" t="s">
        <v>502</v>
      </c>
      <c r="G45" s="40">
        <v>2000</v>
      </c>
      <c r="H45" s="38">
        <v>1</v>
      </c>
      <c r="I45" s="40">
        <v>17952</v>
      </c>
      <c r="J45" s="44" t="s">
        <v>503</v>
      </c>
      <c r="K45" s="38" t="s">
        <v>504</v>
      </c>
      <c r="L45" s="38"/>
      <c r="M45" s="43">
        <v>45908</v>
      </c>
      <c r="N45" s="38" t="s">
        <v>505</v>
      </c>
      <c r="O45" s="38">
        <v>2</v>
      </c>
      <c r="P45" s="38" t="s">
        <v>6</v>
      </c>
      <c r="Q45" s="38" t="s">
        <v>46</v>
      </c>
      <c r="R45" s="45" t="s">
        <v>354</v>
      </c>
      <c r="S45" s="46"/>
      <c r="T45" s="46"/>
      <c r="U45" s="46" t="s">
        <v>7</v>
      </c>
      <c r="V45" s="46" t="s">
        <v>506</v>
      </c>
    </row>
    <row r="46" spans="1:22" ht="15" customHeight="1">
      <c r="A46" s="10">
        <v>45</v>
      </c>
      <c r="B46" s="90" t="s">
        <v>507</v>
      </c>
      <c r="C46" s="10">
        <v>93143354100</v>
      </c>
      <c r="D46" s="10">
        <v>67998237709</v>
      </c>
      <c r="E46" s="119" t="s">
        <v>508</v>
      </c>
      <c r="F46" s="11" t="s">
        <v>509</v>
      </c>
      <c r="G46" s="12">
        <v>3000</v>
      </c>
      <c r="H46" s="10">
        <v>3</v>
      </c>
      <c r="I46" s="12">
        <v>5956.55</v>
      </c>
      <c r="J46" s="10" t="s">
        <v>510</v>
      </c>
      <c r="K46" s="10" t="s">
        <v>214</v>
      </c>
      <c r="L46" s="27">
        <v>45940</v>
      </c>
      <c r="M46" s="27">
        <v>45916</v>
      </c>
      <c r="N46" s="10">
        <v>67998237709</v>
      </c>
      <c r="O46" s="10">
        <v>2</v>
      </c>
      <c r="P46" s="10" t="s">
        <v>6</v>
      </c>
      <c r="Q46" s="10"/>
      <c r="R46" s="68" t="s">
        <v>216</v>
      </c>
      <c r="S46" s="63" t="s">
        <v>217</v>
      </c>
      <c r="T46" s="63"/>
      <c r="U46" s="63" t="s">
        <v>4</v>
      </c>
      <c r="V46" s="63"/>
    </row>
    <row r="47" spans="1:22" ht="15" customHeight="1">
      <c r="A47" s="10">
        <v>46</v>
      </c>
      <c r="B47" s="90" t="s">
        <v>511</v>
      </c>
      <c r="C47" s="10" t="s">
        <v>512</v>
      </c>
      <c r="D47" s="128" t="s">
        <v>513</v>
      </c>
      <c r="E47" s="118" t="s">
        <v>514</v>
      </c>
      <c r="F47" s="11" t="s">
        <v>515</v>
      </c>
      <c r="G47" s="12">
        <v>5000</v>
      </c>
      <c r="H47" s="10">
        <v>4</v>
      </c>
      <c r="I47" s="12" t="s">
        <v>516</v>
      </c>
      <c r="J47" s="10" t="s">
        <v>517</v>
      </c>
      <c r="K47" s="10" t="s">
        <v>214</v>
      </c>
      <c r="L47" s="27">
        <v>45940</v>
      </c>
      <c r="M47" s="27">
        <v>45917</v>
      </c>
      <c r="N47" s="10" t="s">
        <v>513</v>
      </c>
      <c r="O47" s="10">
        <v>2</v>
      </c>
      <c r="P47" s="10" t="s">
        <v>3</v>
      </c>
      <c r="Q47" s="10" t="s">
        <v>46</v>
      </c>
      <c r="R47" s="68" t="s">
        <v>216</v>
      </c>
      <c r="S47" s="63" t="s">
        <v>217</v>
      </c>
      <c r="T47" s="63"/>
      <c r="U47" s="61" t="s">
        <v>4</v>
      </c>
      <c r="V47" s="63"/>
    </row>
    <row r="48" spans="1:22" ht="15" customHeight="1">
      <c r="A48" s="10">
        <v>47</v>
      </c>
      <c r="B48" s="90" t="s">
        <v>518</v>
      </c>
      <c r="C48" s="10">
        <v>39216834838</v>
      </c>
      <c r="D48" s="128" t="s">
        <v>519</v>
      </c>
      <c r="E48" s="90" t="s">
        <v>520</v>
      </c>
      <c r="F48" s="11" t="s">
        <v>521</v>
      </c>
      <c r="G48" s="12">
        <v>20102</v>
      </c>
      <c r="H48" s="10">
        <v>0</v>
      </c>
      <c r="I48" s="12">
        <v>0</v>
      </c>
      <c r="J48" s="10" t="s">
        <v>522</v>
      </c>
      <c r="K48" s="10" t="s">
        <v>268</v>
      </c>
      <c r="L48" s="10"/>
      <c r="M48" s="27">
        <v>45920</v>
      </c>
      <c r="N48" s="10" t="s">
        <v>519</v>
      </c>
      <c r="O48" s="10">
        <v>2</v>
      </c>
      <c r="P48" s="10" t="s">
        <v>3</v>
      </c>
      <c r="Q48" s="10" t="s">
        <v>46</v>
      </c>
      <c r="R48" s="68" t="s">
        <v>354</v>
      </c>
      <c r="S48" s="63" t="s">
        <v>217</v>
      </c>
      <c r="T48" s="63"/>
      <c r="U48" s="61" t="s">
        <v>4</v>
      </c>
      <c r="V48" s="63"/>
    </row>
    <row r="49" spans="1:22" ht="15" customHeight="1">
      <c r="A49" s="10">
        <v>48</v>
      </c>
      <c r="B49" s="90" t="s">
        <v>523</v>
      </c>
      <c r="C49" s="10" t="s">
        <v>524</v>
      </c>
      <c r="D49" s="128" t="s">
        <v>525</v>
      </c>
      <c r="E49" s="90" t="s">
        <v>526</v>
      </c>
      <c r="F49" s="11" t="s">
        <v>527</v>
      </c>
      <c r="G49" s="12">
        <v>3000</v>
      </c>
      <c r="H49" s="10">
        <v>4</v>
      </c>
      <c r="I49" s="12" t="s">
        <v>528</v>
      </c>
      <c r="J49" s="10" t="s">
        <v>529</v>
      </c>
      <c r="K49" s="10" t="s">
        <v>214</v>
      </c>
      <c r="L49" s="27">
        <v>45924</v>
      </c>
      <c r="M49" s="27">
        <v>45920</v>
      </c>
      <c r="N49" s="10" t="s">
        <v>525</v>
      </c>
      <c r="O49" s="10">
        <v>2</v>
      </c>
      <c r="P49" s="10" t="s">
        <v>3</v>
      </c>
      <c r="Q49" s="10" t="s">
        <v>46</v>
      </c>
      <c r="R49" s="68" t="s">
        <v>216</v>
      </c>
      <c r="S49" s="63" t="s">
        <v>217</v>
      </c>
      <c r="T49" s="63"/>
      <c r="U49" s="61" t="s">
        <v>4</v>
      </c>
      <c r="V49" s="63"/>
    </row>
    <row r="50" spans="1:22" ht="15" customHeight="1">
      <c r="A50" s="10">
        <v>49</v>
      </c>
      <c r="B50" s="90" t="s">
        <v>530</v>
      </c>
      <c r="C50" s="10" t="s">
        <v>531</v>
      </c>
      <c r="D50" s="128" t="s">
        <v>532</v>
      </c>
      <c r="E50" s="90" t="s">
        <v>533</v>
      </c>
      <c r="F50" s="10" t="s">
        <v>534</v>
      </c>
      <c r="G50" s="12">
        <v>3800</v>
      </c>
      <c r="H50" s="10" t="s">
        <v>354</v>
      </c>
      <c r="I50" s="10" t="s">
        <v>354</v>
      </c>
      <c r="J50" s="10" t="s">
        <v>535</v>
      </c>
      <c r="K50" s="10" t="s">
        <v>536</v>
      </c>
      <c r="L50" s="10" t="s">
        <v>354</v>
      </c>
      <c r="M50" s="10" t="s">
        <v>537</v>
      </c>
      <c r="N50" s="10" t="s">
        <v>532</v>
      </c>
      <c r="O50" s="10">
        <v>1</v>
      </c>
      <c r="P50" s="10" t="s">
        <v>6</v>
      </c>
      <c r="Q50" s="10" t="s">
        <v>46</v>
      </c>
      <c r="R50" s="68" t="s">
        <v>354</v>
      </c>
      <c r="S50" s="63" t="s">
        <v>217</v>
      </c>
      <c r="T50" s="63"/>
      <c r="U50" s="61" t="s">
        <v>4</v>
      </c>
      <c r="V50" s="63"/>
    </row>
    <row r="51" spans="1:22" ht="15" customHeight="1">
      <c r="A51" s="10">
        <v>50</v>
      </c>
      <c r="B51" s="90" t="s">
        <v>538</v>
      </c>
      <c r="C51" s="10" t="s">
        <v>539</v>
      </c>
      <c r="D51" s="7" t="s">
        <v>540</v>
      </c>
      <c r="E51" s="10" t="s">
        <v>541</v>
      </c>
      <c r="F51" s="10" t="s">
        <v>542</v>
      </c>
      <c r="G51" s="12">
        <v>20000</v>
      </c>
      <c r="H51" s="10" t="s">
        <v>354</v>
      </c>
      <c r="I51" s="10" t="s">
        <v>354</v>
      </c>
      <c r="J51" s="12">
        <v>20000</v>
      </c>
      <c r="K51" s="10" t="s">
        <v>543</v>
      </c>
      <c r="L51" s="10" t="s">
        <v>354</v>
      </c>
      <c r="M51" s="10" t="s">
        <v>544</v>
      </c>
      <c r="N51" s="7" t="s">
        <v>545</v>
      </c>
      <c r="O51" s="10">
        <v>2</v>
      </c>
      <c r="P51" s="10" t="s">
        <v>6</v>
      </c>
      <c r="Q51" s="10" t="s">
        <v>546</v>
      </c>
      <c r="R51" s="68" t="s">
        <v>354</v>
      </c>
      <c r="S51" s="63"/>
      <c r="T51" s="63"/>
      <c r="U51" s="63"/>
      <c r="V51" s="63"/>
    </row>
    <row r="52" spans="1:22" ht="15" customHeight="1">
      <c r="A52" s="10"/>
      <c r="B52" s="90"/>
      <c r="C52" s="10"/>
      <c r="D52" s="10"/>
      <c r="E52" s="90"/>
      <c r="F52" s="10"/>
      <c r="G52" s="12"/>
      <c r="H52" s="10"/>
      <c r="I52" s="12"/>
      <c r="J52" s="10"/>
      <c r="K52" s="10"/>
      <c r="L52" s="10"/>
      <c r="M52" s="10"/>
      <c r="N52" s="10"/>
      <c r="O52" s="10"/>
      <c r="P52" s="10"/>
      <c r="Q52" s="10"/>
      <c r="R52" s="68"/>
      <c r="S52" s="63"/>
      <c r="T52" s="63"/>
      <c r="U52" s="63"/>
      <c r="V52" s="63"/>
    </row>
    <row r="53" spans="1:22" ht="15" customHeight="1">
      <c r="A53" s="10"/>
      <c r="B53" s="90"/>
      <c r="C53" s="10"/>
      <c r="D53" s="10"/>
      <c r="E53" s="90"/>
      <c r="F53" s="10"/>
      <c r="G53" s="12"/>
      <c r="H53" s="10"/>
      <c r="I53" s="12"/>
      <c r="J53" s="10"/>
      <c r="K53" s="10"/>
      <c r="L53" s="10"/>
      <c r="M53" s="10"/>
      <c r="N53" s="10"/>
      <c r="O53" s="10"/>
      <c r="P53" s="10"/>
      <c r="Q53" s="10"/>
      <c r="R53" s="68"/>
      <c r="S53" s="63"/>
      <c r="T53" s="63"/>
      <c r="U53" s="63"/>
      <c r="V53" s="63"/>
    </row>
    <row r="54" spans="1:22" ht="15" customHeight="1">
      <c r="A54" s="10"/>
      <c r="B54" s="90"/>
      <c r="C54" s="10"/>
      <c r="D54" s="10"/>
      <c r="E54" s="90"/>
      <c r="F54" s="10"/>
      <c r="G54" s="12"/>
      <c r="H54" s="10"/>
      <c r="I54" s="12"/>
      <c r="J54" s="10"/>
      <c r="K54" s="10"/>
      <c r="L54" s="10"/>
      <c r="M54" s="10"/>
      <c r="N54" s="10"/>
      <c r="O54" s="10"/>
      <c r="P54" s="10"/>
      <c r="Q54" s="10"/>
      <c r="R54" s="68"/>
      <c r="S54" s="63"/>
      <c r="T54" s="63"/>
      <c r="U54" s="63"/>
      <c r="V54" s="63"/>
    </row>
    <row r="55" spans="1:22" ht="15" customHeight="1">
      <c r="A55" s="10"/>
      <c r="B55" s="90"/>
      <c r="C55" s="10"/>
      <c r="D55" s="10"/>
      <c r="E55" s="90"/>
      <c r="F55" s="10"/>
      <c r="G55" s="12"/>
      <c r="H55" s="10"/>
      <c r="I55" s="12"/>
      <c r="J55" s="10"/>
      <c r="K55" s="10"/>
      <c r="L55" s="10"/>
      <c r="M55" s="10"/>
      <c r="N55" s="10"/>
      <c r="O55" s="10"/>
      <c r="P55" s="10"/>
      <c r="Q55" s="10"/>
      <c r="R55" s="68"/>
      <c r="S55" s="63"/>
      <c r="T55" s="63"/>
      <c r="U55" s="63"/>
      <c r="V55" s="63"/>
    </row>
    <row r="56" spans="1:22" ht="15" customHeight="1">
      <c r="A56" s="10"/>
      <c r="B56" s="90"/>
      <c r="C56" s="10"/>
      <c r="D56" s="10"/>
      <c r="E56" s="90"/>
      <c r="F56" s="10"/>
      <c r="G56" s="12"/>
      <c r="H56" s="10"/>
      <c r="I56" s="12"/>
      <c r="J56" s="10"/>
      <c r="K56" s="10"/>
      <c r="L56" s="10"/>
      <c r="M56" s="10"/>
      <c r="N56" s="10"/>
      <c r="O56" s="10"/>
      <c r="P56" s="10"/>
      <c r="Q56" s="10"/>
      <c r="R56" s="68"/>
      <c r="S56" s="63"/>
      <c r="T56" s="63"/>
      <c r="U56" s="63"/>
      <c r="V56" s="63"/>
    </row>
    <row r="57" spans="1:22" ht="15" customHeight="1">
      <c r="A57" s="10"/>
      <c r="B57" s="90"/>
      <c r="C57" s="10"/>
      <c r="D57" s="10"/>
      <c r="E57" s="90"/>
      <c r="F57" s="10"/>
      <c r="G57" s="12"/>
      <c r="H57" s="10"/>
      <c r="I57" s="12"/>
      <c r="J57" s="10"/>
      <c r="K57" s="10"/>
      <c r="L57" s="10"/>
      <c r="M57" s="10"/>
      <c r="N57" s="10"/>
      <c r="O57" s="10"/>
      <c r="P57" s="10"/>
      <c r="Q57" s="10"/>
      <c r="R57" s="68"/>
      <c r="S57" s="63"/>
      <c r="T57" s="63"/>
      <c r="U57" s="63"/>
      <c r="V57" s="63"/>
    </row>
    <row r="58" spans="1:22" ht="15" customHeight="1">
      <c r="A58" s="10"/>
      <c r="B58" s="90"/>
      <c r="C58" s="10"/>
      <c r="D58" s="10"/>
      <c r="E58" s="90"/>
      <c r="F58" s="10"/>
      <c r="G58" s="12"/>
      <c r="H58" s="10"/>
      <c r="I58" s="12"/>
      <c r="J58" s="10"/>
      <c r="K58" s="10"/>
      <c r="L58" s="10"/>
      <c r="M58" s="10"/>
      <c r="N58" s="10"/>
      <c r="O58" s="10"/>
      <c r="P58" s="10"/>
      <c r="Q58" s="10"/>
      <c r="R58" s="68"/>
      <c r="S58" s="63"/>
      <c r="T58" s="63"/>
      <c r="U58" s="63"/>
      <c r="V58" s="63"/>
    </row>
    <row r="59" spans="1:22" ht="15" customHeight="1">
      <c r="A59" s="10"/>
      <c r="B59" s="90"/>
      <c r="C59" s="10"/>
      <c r="D59" s="10"/>
      <c r="E59" s="90"/>
      <c r="F59" s="10"/>
      <c r="G59" s="12"/>
      <c r="H59" s="10"/>
      <c r="I59" s="12"/>
      <c r="J59" s="10"/>
      <c r="K59" s="10"/>
      <c r="L59" s="10"/>
      <c r="M59" s="10"/>
      <c r="N59" s="10"/>
      <c r="O59" s="10"/>
      <c r="P59" s="10"/>
      <c r="Q59" s="10"/>
      <c r="R59" s="68"/>
      <c r="S59" s="63"/>
      <c r="T59" s="63"/>
      <c r="U59" s="63"/>
      <c r="V59" s="63"/>
    </row>
    <row r="60" spans="1:22" ht="15" customHeight="1">
      <c r="A60" s="10"/>
      <c r="B60" s="90"/>
      <c r="C60" s="10"/>
      <c r="D60" s="10"/>
      <c r="E60" s="90"/>
      <c r="F60" s="10"/>
      <c r="G60" s="12"/>
      <c r="H60" s="10"/>
      <c r="I60" s="12"/>
      <c r="J60" s="10"/>
      <c r="K60" s="10"/>
      <c r="L60" s="10"/>
      <c r="M60" s="10"/>
      <c r="N60" s="10"/>
      <c r="O60" s="10"/>
      <c r="P60" s="10"/>
      <c r="Q60" s="10"/>
      <c r="R60" s="68"/>
      <c r="S60" s="63"/>
      <c r="T60" s="63"/>
      <c r="U60" s="63"/>
      <c r="V60" s="63"/>
    </row>
    <row r="61" spans="1:22" ht="15" customHeight="1">
      <c r="A61" s="10"/>
      <c r="B61" s="90"/>
      <c r="C61" s="10"/>
      <c r="D61" s="10"/>
      <c r="E61" s="90"/>
      <c r="F61" s="10"/>
      <c r="G61" s="12"/>
      <c r="H61" s="10"/>
      <c r="I61" s="12"/>
      <c r="J61" s="10"/>
      <c r="K61" s="10"/>
      <c r="L61" s="10"/>
      <c r="M61" s="10"/>
      <c r="N61" s="10"/>
      <c r="O61" s="10"/>
      <c r="P61" s="10"/>
      <c r="Q61" s="10"/>
      <c r="R61" s="68"/>
      <c r="S61" s="63"/>
      <c r="T61" s="63"/>
      <c r="U61" s="63"/>
      <c r="V61" s="63"/>
    </row>
    <row r="62" spans="1:22" ht="15" customHeight="1">
      <c r="A62" s="10"/>
      <c r="B62" s="90"/>
      <c r="C62" s="10"/>
      <c r="D62" s="10"/>
      <c r="E62" s="90"/>
      <c r="F62" s="10"/>
      <c r="G62" s="12"/>
      <c r="H62" s="10"/>
      <c r="I62" s="12"/>
      <c r="J62" s="10"/>
      <c r="K62" s="10"/>
      <c r="L62" s="10"/>
      <c r="M62" s="10"/>
      <c r="N62" s="10"/>
      <c r="O62" s="10"/>
      <c r="P62" s="10"/>
      <c r="Q62" s="10"/>
      <c r="R62" s="68"/>
      <c r="S62" s="63"/>
      <c r="T62" s="63"/>
      <c r="U62" s="63"/>
      <c r="V62" s="63"/>
    </row>
    <row r="63" spans="1:22" ht="15" customHeight="1">
      <c r="A63" s="10"/>
      <c r="B63" s="90"/>
      <c r="C63" s="10"/>
      <c r="D63" s="10"/>
      <c r="E63" s="90"/>
      <c r="F63" s="10"/>
      <c r="G63" s="12"/>
      <c r="H63" s="10"/>
      <c r="I63" s="12"/>
      <c r="J63" s="10"/>
      <c r="K63" s="10"/>
      <c r="L63" s="10"/>
      <c r="M63" s="10"/>
      <c r="N63" s="10"/>
      <c r="O63" s="10"/>
      <c r="P63" s="10"/>
      <c r="Q63" s="10"/>
      <c r="R63" s="68"/>
      <c r="S63" s="63"/>
      <c r="T63" s="63"/>
      <c r="U63" s="63"/>
      <c r="V63" s="63"/>
    </row>
  </sheetData>
  <autoFilter ref="A1:U51" xr:uid="{4EB3BDEA-0AD1-4D84-B69C-CA4DA50A9AFF}"/>
  <hyperlinks>
    <hyperlink ref="F4" r:id="rId1" xr:uid="{5AB6D27C-E92D-48CC-A627-CDB74B9F65F5}"/>
    <hyperlink ref="F3" r:id="rId2" xr:uid="{016E00B3-A9B2-43B0-B9C0-8D96F0F273AD}"/>
    <hyperlink ref="F6" r:id="rId3" xr:uid="{309D9B5A-B058-4F3C-BB92-3B07CA4987C4}"/>
    <hyperlink ref="F7" r:id="rId4" xr:uid="{C7299758-AA1B-4E4F-8123-375AF9E83718}"/>
    <hyperlink ref="F8" r:id="rId5" xr:uid="{DAB24779-FC5B-46E8-99A5-170DAAB76689}"/>
    <hyperlink ref="F9" r:id="rId6" xr:uid="{A4FC7BA7-1B7F-4FD2-955D-DAD750ED2651}"/>
    <hyperlink ref="F10" r:id="rId7" xr:uid="{7D4B296E-1DCC-42D1-B663-0463792B67F5}"/>
    <hyperlink ref="F11" r:id="rId8" xr:uid="{CCE633A7-46CA-4438-96F3-D8575D83F3B4}"/>
    <hyperlink ref="F12" r:id="rId9" xr:uid="{C7DDBE68-0677-4083-AE26-D471389147B3}"/>
    <hyperlink ref="F14" r:id="rId10" xr:uid="{C365165B-04E4-43FC-B33C-9B6B1A289ACF}"/>
    <hyperlink ref="F13" r:id="rId11" xr:uid="{A57A9456-BA65-4E58-93A3-651BEDCA2D5D}"/>
    <hyperlink ref="F5" r:id="rId12" xr:uid="{40062B4A-7D6E-4A3D-9A0E-863B545D260E}"/>
    <hyperlink ref="F2" r:id="rId13" xr:uid="{20665312-A88D-42DC-8AD4-C41E4D9B7501}"/>
    <hyperlink ref="F15" r:id="rId14" xr:uid="{FB21FD5F-3E6A-454F-930A-ABFE5ACFB692}"/>
    <hyperlink ref="F16" r:id="rId15" xr:uid="{98F17702-82DD-48A2-AE39-CECBB633E02C}"/>
    <hyperlink ref="F18" r:id="rId16" xr:uid="{312AB0D7-1455-4998-B73E-82CEB579552A}"/>
    <hyperlink ref="F17" r:id="rId17" xr:uid="{A990F447-4788-450A-B711-7EAC9041DB9F}"/>
    <hyperlink ref="F19" r:id="rId18" xr:uid="{18889B7A-7F60-4CD2-840F-66DD518F6143}"/>
    <hyperlink ref="F20" r:id="rId19" xr:uid="{A3911DAF-2BD7-4F25-BC25-44CE0087BAB4}"/>
    <hyperlink ref="F21" r:id="rId20" xr:uid="{150EBAC4-14B5-4A6C-ABA2-4218E5262651}"/>
    <hyperlink ref="F22" r:id="rId21" xr:uid="{3A714589-9D95-438D-818A-33BDDD8FCFC1}"/>
    <hyperlink ref="F23" r:id="rId22" xr:uid="{116993CD-C16B-484C-8EFA-C57203790785}"/>
    <hyperlink ref="F24" r:id="rId23" xr:uid="{38F3B66A-6272-4C3C-8832-24AF936771D1}"/>
    <hyperlink ref="F25" r:id="rId24" xr:uid="{EFEB3956-02C1-480C-AF5F-52CA9F63C242}"/>
    <hyperlink ref="F26" r:id="rId25" xr:uid="{44A835FF-88D3-41B0-A2A2-515AA1538D29}"/>
    <hyperlink ref="F27" r:id="rId26" xr:uid="{E6B574CD-A86E-417E-8E3F-AC88A1C2EDDC}"/>
    <hyperlink ref="F29" r:id="rId27" xr:uid="{C92F4864-94C9-4BFE-A7F2-4187BD56CDBF}"/>
    <hyperlink ref="F30" r:id="rId28" xr:uid="{03092602-236F-409F-9B54-39B4B9532E50}"/>
    <hyperlink ref="F31" r:id="rId29" xr:uid="{24B94C48-F828-4BA4-8A9E-B3437D6F16F9}"/>
    <hyperlink ref="F32" r:id="rId30" xr:uid="{7412E589-4068-4D97-BD6F-1CC9D63BE460}"/>
    <hyperlink ref="F33" r:id="rId31" xr:uid="{AC7C1511-1483-42FC-8C44-2BCF855806DA}"/>
    <hyperlink ref="F34" r:id="rId32" xr:uid="{C9233CE3-9A81-4AD1-93F6-0943959E6414}"/>
    <hyperlink ref="F35" r:id="rId33" xr:uid="{73DF7177-9BAD-41ED-A748-F4A0BDC9A137}"/>
    <hyperlink ref="F36" r:id="rId34" xr:uid="{E990E9F5-8570-4941-8BA7-769E5FA80B1E}"/>
    <hyperlink ref="F37" r:id="rId35" xr:uid="{6A7D3434-E32E-4356-A6BB-D0EB5854DF5F}"/>
    <hyperlink ref="F38" r:id="rId36" xr:uid="{1BF08F4C-906F-4998-AB55-5AB18238D6F4}"/>
    <hyperlink ref="F39" r:id="rId37" xr:uid="{A83C8759-96CB-42F2-8511-E73A89AF1231}"/>
    <hyperlink ref="F40" r:id="rId38" xr:uid="{1318DC69-DB15-4F5A-9E95-023603D2B710}"/>
    <hyperlink ref="F41" r:id="rId39" xr:uid="{79244D0B-00B1-45A4-AF46-49FB09FE880A}"/>
    <hyperlink ref="F43" r:id="rId40" xr:uid="{B3AA76F0-6BB9-43C2-AECD-03B7998AF57E}"/>
    <hyperlink ref="F45" r:id="rId41" xr:uid="{DE20DEED-A3B1-4BDF-A057-944104E1C28B}"/>
    <hyperlink ref="F46" r:id="rId42" xr:uid="{B54EC706-C867-4174-A176-B4191D54830E}"/>
    <hyperlink ref="F47" r:id="rId43" xr:uid="{DBD753B8-F39E-457B-8E2A-99473945C248}"/>
    <hyperlink ref="F48" r:id="rId44" xr:uid="{9766FA1B-5469-4EB6-9306-50E6C31D7A05}"/>
    <hyperlink ref="F49" r:id="rId45" xr:uid="{02A418B9-866A-49D3-9CEB-2D2A994FC734}"/>
  </hyperlinks>
  <pageMargins left="0.511811024" right="0.511811024" top="0.78740157499999996" bottom="0.78740157499999996" header="0.31496062000000002" footer="0.31496062000000002"/>
  <pageSetup orientation="portrait" r:id="rId4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D25BD-50BD-4C2A-A648-F693E10A6790}">
  <dimension ref="A1:W63"/>
  <sheetViews>
    <sheetView tabSelected="1" workbookViewId="0">
      <pane xSplit="2" ySplit="1" topLeftCell="C2" activePane="bottomRight" state="frozen"/>
      <selection pane="bottomRight" activeCell="E10" sqref="E10"/>
      <selection pane="bottomLeft"/>
      <selection pane="topRight"/>
    </sheetView>
  </sheetViews>
  <sheetFormatPr defaultColWidth="9.140625" defaultRowHeight="15" customHeight="1"/>
  <cols>
    <col min="1" max="1" width="6.85546875" style="55" bestFit="1" customWidth="1"/>
    <col min="2" max="2" width="39.28515625" style="123" bestFit="1" customWidth="1"/>
    <col min="3" max="3" width="15" style="55" bestFit="1" customWidth="1"/>
    <col min="4" max="4" width="21.85546875" style="55" customWidth="1"/>
    <col min="5" max="5" width="61.85546875" style="123" bestFit="1" customWidth="1"/>
    <col min="6" max="6" width="29.42578125" style="55" customWidth="1"/>
    <col min="7" max="7" width="20" style="58" bestFit="1" customWidth="1"/>
    <col min="8" max="8" width="19.42578125" style="55" customWidth="1"/>
    <col min="9" max="9" width="15.140625" style="58" customWidth="1"/>
    <col min="10" max="10" width="21" style="55" customWidth="1"/>
    <col min="11" max="11" width="28.85546875" style="55" customWidth="1"/>
    <col min="12" max="12" width="30.42578125" style="55" bestFit="1" customWidth="1"/>
    <col min="13" max="13" width="20.5703125" style="55" customWidth="1"/>
    <col min="14" max="14" width="20.85546875" style="55" customWidth="1"/>
    <col min="15" max="15" width="9.85546875" style="55" bestFit="1" customWidth="1"/>
    <col min="16" max="16" width="19.5703125" style="55" bestFit="1" customWidth="1"/>
    <col min="17" max="17" width="26.42578125" style="55" bestFit="1" customWidth="1"/>
    <col min="18" max="18" width="24.5703125" style="55" customWidth="1"/>
    <col min="19" max="19" width="12.7109375" style="55" bestFit="1" customWidth="1"/>
    <col min="20" max="20" width="9.7109375" style="55" bestFit="1" customWidth="1"/>
    <col min="21" max="21" width="39.140625" style="55" customWidth="1"/>
    <col min="22" max="22" width="16.140625" style="55" bestFit="1" customWidth="1"/>
    <col min="23" max="23" width="122" style="55" customWidth="1"/>
    <col min="24" max="16384" width="9.140625" style="55"/>
  </cols>
  <sheetData>
    <row r="1" spans="1:23" s="114" customFormat="1" ht="20.25">
      <c r="A1" s="113" t="s">
        <v>15</v>
      </c>
      <c r="B1" s="93" t="s">
        <v>16</v>
      </c>
      <c r="C1" s="93" t="s">
        <v>201</v>
      </c>
      <c r="D1" s="93" t="s">
        <v>23</v>
      </c>
      <c r="E1" s="93" t="s">
        <v>202</v>
      </c>
      <c r="F1" s="93" t="s">
        <v>203</v>
      </c>
      <c r="G1" s="94" t="s">
        <v>17</v>
      </c>
      <c r="H1" s="93" t="s">
        <v>18</v>
      </c>
      <c r="I1" s="94" t="s">
        <v>19</v>
      </c>
      <c r="J1" s="93" t="s">
        <v>20</v>
      </c>
      <c r="K1" s="93" t="s">
        <v>204</v>
      </c>
      <c r="L1" s="93" t="s">
        <v>205</v>
      </c>
      <c r="M1" s="93" t="s">
        <v>22</v>
      </c>
      <c r="N1" s="93" t="s">
        <v>23</v>
      </c>
      <c r="O1" s="93" t="s">
        <v>24</v>
      </c>
      <c r="P1" s="93" t="s">
        <v>0</v>
      </c>
      <c r="Q1" s="93" t="s">
        <v>25</v>
      </c>
      <c r="R1" s="93" t="s">
        <v>206</v>
      </c>
      <c r="S1" s="93" t="s">
        <v>26</v>
      </c>
      <c r="T1" s="93" t="s">
        <v>27</v>
      </c>
      <c r="U1" s="93" t="s">
        <v>1</v>
      </c>
      <c r="V1" s="93" t="s">
        <v>547</v>
      </c>
      <c r="W1" s="93" t="s">
        <v>207</v>
      </c>
    </row>
    <row r="2" spans="1:23">
      <c r="A2" s="57">
        <v>1</v>
      </c>
      <c r="B2" s="120" t="s">
        <v>248</v>
      </c>
      <c r="C2" s="57">
        <v>85438391068</v>
      </c>
      <c r="D2" s="57" t="s">
        <v>548</v>
      </c>
      <c r="E2" s="124" t="s">
        <v>549</v>
      </c>
      <c r="F2" s="95" t="s">
        <v>252</v>
      </c>
      <c r="G2" s="63" t="s">
        <v>354</v>
      </c>
      <c r="H2" s="57">
        <v>10</v>
      </c>
      <c r="I2" s="96">
        <v>2359.5300000000002</v>
      </c>
      <c r="J2" s="97">
        <f>I2*H2</f>
        <v>23595.300000000003</v>
      </c>
      <c r="K2" s="57" t="s">
        <v>35</v>
      </c>
      <c r="L2" s="98">
        <v>45941</v>
      </c>
      <c r="M2" s="99" t="s">
        <v>550</v>
      </c>
      <c r="N2" s="57" t="s">
        <v>548</v>
      </c>
      <c r="O2" s="57">
        <v>0</v>
      </c>
      <c r="P2" s="57" t="s">
        <v>6</v>
      </c>
      <c r="Q2" s="57" t="s">
        <v>551</v>
      </c>
      <c r="R2" s="57"/>
      <c r="S2" s="57"/>
      <c r="T2" s="57"/>
      <c r="U2" s="57"/>
      <c r="V2" s="57"/>
      <c r="W2" s="57" t="s">
        <v>552</v>
      </c>
    </row>
    <row r="3" spans="1:23">
      <c r="A3" s="57">
        <v>2</v>
      </c>
      <c r="B3" s="120" t="s">
        <v>553</v>
      </c>
      <c r="C3" s="57">
        <v>12235967612</v>
      </c>
      <c r="D3" s="57" t="s">
        <v>554</v>
      </c>
      <c r="E3" s="127" t="s">
        <v>555</v>
      </c>
      <c r="F3" s="95" t="s">
        <v>556</v>
      </c>
      <c r="G3" s="100">
        <v>3000</v>
      </c>
      <c r="H3" s="57">
        <v>10</v>
      </c>
      <c r="I3" s="100">
        <v>2207</v>
      </c>
      <c r="J3" s="97">
        <v>25070</v>
      </c>
      <c r="K3" s="57" t="s">
        <v>35</v>
      </c>
      <c r="L3" s="99">
        <v>46011</v>
      </c>
      <c r="M3" s="99">
        <v>45987</v>
      </c>
      <c r="N3" s="57" t="s">
        <v>554</v>
      </c>
      <c r="O3" s="57">
        <v>0</v>
      </c>
      <c r="P3" s="57" t="s">
        <v>12</v>
      </c>
      <c r="Q3" s="57"/>
      <c r="R3" s="57" t="s">
        <v>557</v>
      </c>
      <c r="S3" s="57"/>
      <c r="T3" s="57"/>
      <c r="U3" s="57" t="s">
        <v>558</v>
      </c>
      <c r="V3" s="57"/>
      <c r="W3" s="57" t="s">
        <v>559</v>
      </c>
    </row>
    <row r="4" spans="1:23">
      <c r="A4" s="57">
        <v>3</v>
      </c>
      <c r="B4" s="120"/>
      <c r="C4" s="57"/>
      <c r="D4" s="57"/>
      <c r="E4" s="121"/>
      <c r="F4" s="95"/>
      <c r="G4" s="100"/>
      <c r="H4" s="57"/>
      <c r="I4" s="100"/>
      <c r="J4" s="101"/>
      <c r="K4" s="57"/>
      <c r="L4" s="57"/>
      <c r="M4" s="99"/>
      <c r="N4" s="57"/>
      <c r="O4" s="57"/>
      <c r="P4" s="57"/>
      <c r="Q4" s="57"/>
      <c r="R4" s="57"/>
      <c r="S4" s="57"/>
      <c r="T4" s="57"/>
      <c r="U4" s="57"/>
      <c r="V4" s="57"/>
      <c r="W4" s="57"/>
    </row>
    <row r="5" spans="1:23">
      <c r="A5" s="57">
        <v>4</v>
      </c>
      <c r="B5" s="120"/>
      <c r="C5" s="57"/>
      <c r="D5" s="57"/>
      <c r="E5" s="121"/>
      <c r="F5" s="95"/>
      <c r="G5" s="100"/>
      <c r="H5" s="57"/>
      <c r="I5" s="100"/>
      <c r="J5" s="101"/>
      <c r="K5" s="57"/>
      <c r="L5" s="57"/>
      <c r="M5" s="99"/>
      <c r="N5" s="57"/>
      <c r="O5" s="57"/>
      <c r="P5" s="57"/>
      <c r="Q5" s="57"/>
      <c r="R5" s="57"/>
      <c r="S5" s="57"/>
      <c r="T5" s="57"/>
      <c r="U5" s="57"/>
      <c r="V5" s="57"/>
      <c r="W5" s="57"/>
    </row>
    <row r="6" spans="1:23" ht="15" customHeight="1">
      <c r="A6" s="57">
        <v>5</v>
      </c>
      <c r="B6" s="121"/>
      <c r="C6" s="57"/>
      <c r="D6" s="57"/>
      <c r="E6" s="121"/>
      <c r="F6" s="95"/>
      <c r="G6" s="100"/>
      <c r="H6" s="57"/>
      <c r="I6" s="100"/>
      <c r="J6" s="101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</row>
    <row r="7" spans="1:23" s="56" customFormat="1" ht="15" customHeight="1">
      <c r="A7" s="57">
        <v>6</v>
      </c>
      <c r="B7" s="122"/>
      <c r="C7" s="101"/>
      <c r="D7" s="101"/>
      <c r="E7" s="125"/>
      <c r="F7" s="102"/>
      <c r="G7" s="97"/>
      <c r="H7" s="101"/>
      <c r="I7" s="97"/>
      <c r="J7" s="101"/>
      <c r="K7" s="101"/>
      <c r="L7" s="103"/>
      <c r="M7" s="101"/>
      <c r="N7" s="101"/>
      <c r="O7" s="101"/>
      <c r="P7" s="57"/>
      <c r="Q7" s="57"/>
      <c r="R7" s="101"/>
      <c r="S7" s="57"/>
      <c r="T7" s="101"/>
      <c r="U7" s="101"/>
      <c r="V7" s="101"/>
      <c r="W7" s="101"/>
    </row>
    <row r="8" spans="1:23">
      <c r="A8" s="57">
        <v>7</v>
      </c>
      <c r="B8" s="120"/>
      <c r="C8" s="57"/>
      <c r="D8" s="57"/>
      <c r="E8" s="121"/>
      <c r="F8" s="95"/>
      <c r="G8" s="100"/>
      <c r="H8" s="57"/>
      <c r="I8" s="100"/>
      <c r="J8" s="101"/>
      <c r="K8" s="57"/>
      <c r="L8" s="98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</row>
    <row r="9" spans="1:23">
      <c r="A9" s="57">
        <v>8</v>
      </c>
      <c r="B9" s="120"/>
      <c r="C9" s="57"/>
      <c r="D9" s="57"/>
      <c r="E9" s="120"/>
      <c r="F9" s="95"/>
      <c r="G9" s="100"/>
      <c r="H9" s="57"/>
      <c r="I9" s="100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</row>
    <row r="10" spans="1:23">
      <c r="A10" s="57">
        <v>9</v>
      </c>
      <c r="B10" s="120"/>
      <c r="C10" s="57"/>
      <c r="D10" s="57"/>
      <c r="E10" s="126"/>
      <c r="F10" s="95"/>
      <c r="G10" s="100"/>
      <c r="H10" s="57"/>
      <c r="I10" s="100"/>
      <c r="J10" s="57"/>
      <c r="K10" s="57"/>
      <c r="L10" s="98"/>
      <c r="M10" s="98"/>
      <c r="N10" s="57"/>
      <c r="O10" s="57"/>
      <c r="P10" s="57"/>
      <c r="Q10" s="57"/>
      <c r="R10" s="57"/>
      <c r="S10" s="57"/>
      <c r="T10" s="57"/>
      <c r="U10" s="57"/>
      <c r="V10" s="57"/>
      <c r="W10" s="57"/>
    </row>
    <row r="11" spans="1:23" ht="15" customHeight="1">
      <c r="A11" s="57">
        <v>10</v>
      </c>
      <c r="B11" s="120"/>
      <c r="C11" s="57"/>
      <c r="D11" s="57"/>
      <c r="E11" s="120"/>
      <c r="F11" s="95"/>
      <c r="G11" s="100"/>
      <c r="H11" s="57"/>
      <c r="I11" s="100"/>
      <c r="J11" s="57"/>
      <c r="K11" s="57"/>
      <c r="L11" s="98"/>
      <c r="M11" s="99"/>
      <c r="N11" s="57"/>
      <c r="O11" s="57"/>
      <c r="P11" s="57"/>
      <c r="Q11" s="57"/>
      <c r="R11" s="57"/>
      <c r="S11" s="57"/>
      <c r="T11" s="57"/>
      <c r="U11" s="57"/>
      <c r="V11" s="57"/>
      <c r="W11" s="57"/>
    </row>
    <row r="12" spans="1:23" ht="15" customHeight="1">
      <c r="A12" s="57">
        <v>11</v>
      </c>
      <c r="B12" s="120"/>
      <c r="C12" s="57"/>
      <c r="D12" s="57"/>
      <c r="E12" s="120"/>
      <c r="F12" s="95"/>
      <c r="G12" s="100"/>
      <c r="H12" s="57"/>
      <c r="I12" s="100"/>
      <c r="J12" s="104"/>
      <c r="K12" s="57"/>
      <c r="L12" s="98"/>
      <c r="M12" s="99"/>
      <c r="N12" s="57"/>
      <c r="O12" s="57"/>
      <c r="P12" s="57"/>
      <c r="Q12" s="57"/>
      <c r="R12" s="57"/>
      <c r="S12" s="57"/>
      <c r="T12" s="57"/>
      <c r="U12" s="57"/>
      <c r="V12" s="57"/>
      <c r="W12" s="57"/>
    </row>
    <row r="13" spans="1:23" ht="14.25" customHeight="1">
      <c r="A13" s="57">
        <v>12</v>
      </c>
      <c r="B13" s="120"/>
      <c r="C13" s="57"/>
      <c r="D13" s="57"/>
      <c r="E13" s="120"/>
      <c r="F13" s="95"/>
      <c r="G13" s="100"/>
      <c r="H13" s="57"/>
      <c r="I13" s="100"/>
      <c r="J13" s="104"/>
      <c r="K13" s="57"/>
      <c r="L13" s="98"/>
      <c r="M13" s="99"/>
      <c r="N13" s="57"/>
      <c r="O13" s="57"/>
      <c r="P13" s="57"/>
      <c r="Q13" s="57"/>
      <c r="R13" s="57"/>
      <c r="S13" s="57"/>
      <c r="T13" s="57"/>
      <c r="U13" s="57"/>
      <c r="V13" s="57"/>
      <c r="W13" s="57"/>
    </row>
    <row r="14" spans="1:23" ht="15" customHeight="1">
      <c r="A14" s="57">
        <v>13</v>
      </c>
      <c r="B14" s="120"/>
      <c r="C14" s="57"/>
      <c r="D14" s="57"/>
      <c r="E14" s="120"/>
      <c r="F14" s="95"/>
      <c r="G14" s="100"/>
      <c r="H14" s="57"/>
      <c r="I14" s="100"/>
      <c r="J14" s="104"/>
      <c r="K14" s="57"/>
      <c r="L14" s="98"/>
      <c r="M14" s="99"/>
      <c r="N14" s="57"/>
      <c r="O14" s="57"/>
      <c r="P14" s="57"/>
      <c r="Q14" s="57"/>
      <c r="R14" s="57"/>
      <c r="S14" s="57"/>
      <c r="T14" s="57"/>
      <c r="U14" s="57"/>
      <c r="V14" s="57"/>
      <c r="W14" s="57"/>
    </row>
    <row r="15" spans="1:23" ht="15" customHeight="1">
      <c r="A15" s="57">
        <v>14</v>
      </c>
      <c r="B15" s="120"/>
      <c r="C15" s="95"/>
      <c r="D15" s="57"/>
      <c r="E15" s="120"/>
      <c r="F15" s="95"/>
      <c r="G15" s="100"/>
      <c r="H15" s="57"/>
      <c r="I15" s="100"/>
      <c r="J15" s="104"/>
      <c r="K15" s="57"/>
      <c r="L15" s="98"/>
      <c r="M15" s="99"/>
      <c r="N15" s="57"/>
      <c r="O15" s="57"/>
      <c r="P15" s="57"/>
      <c r="Q15" s="57"/>
      <c r="R15" s="57"/>
      <c r="S15" s="57"/>
      <c r="T15" s="57"/>
      <c r="U15" s="57"/>
      <c r="V15" s="57"/>
      <c r="W15" s="57"/>
    </row>
    <row r="16" spans="1:23" ht="15" customHeight="1">
      <c r="A16" s="57">
        <v>15</v>
      </c>
      <c r="B16" s="120"/>
      <c r="C16" s="105"/>
      <c r="D16" s="57"/>
      <c r="E16" s="120"/>
      <c r="F16" s="95"/>
      <c r="G16" s="100"/>
      <c r="H16" s="57"/>
      <c r="I16" s="100"/>
      <c r="J16" s="104"/>
      <c r="K16" s="57"/>
      <c r="L16" s="57"/>
      <c r="M16" s="99"/>
      <c r="N16" s="57"/>
      <c r="O16" s="57"/>
      <c r="P16" s="57"/>
      <c r="Q16" s="57"/>
      <c r="R16" s="57"/>
      <c r="S16" s="57"/>
      <c r="T16" s="57"/>
      <c r="U16" s="57"/>
      <c r="V16" s="57"/>
      <c r="W16" s="57"/>
    </row>
    <row r="17" spans="1:23" ht="15" customHeight="1">
      <c r="A17" s="57">
        <v>16</v>
      </c>
      <c r="B17" s="120"/>
      <c r="C17" s="57"/>
      <c r="D17" s="57"/>
      <c r="E17" s="120"/>
      <c r="F17" s="95"/>
      <c r="G17" s="100"/>
      <c r="H17" s="57"/>
      <c r="I17" s="100"/>
      <c r="J17" s="104"/>
      <c r="K17" s="57"/>
      <c r="L17" s="98"/>
      <c r="M17" s="99"/>
      <c r="N17" s="57"/>
      <c r="O17" s="57"/>
      <c r="P17" s="57"/>
      <c r="Q17" s="57"/>
      <c r="R17" s="57"/>
      <c r="S17" s="57"/>
      <c r="T17" s="57"/>
      <c r="U17" s="57"/>
      <c r="V17" s="57"/>
      <c r="W17" s="57"/>
    </row>
    <row r="18" spans="1:23" ht="15" customHeight="1">
      <c r="A18" s="57">
        <v>17</v>
      </c>
      <c r="B18" s="120"/>
      <c r="C18" s="57"/>
      <c r="D18" s="57"/>
      <c r="E18" s="120"/>
      <c r="F18" s="95"/>
      <c r="G18" s="100"/>
      <c r="H18" s="57"/>
      <c r="I18" s="100"/>
      <c r="J18" s="104"/>
      <c r="K18" s="57"/>
      <c r="L18" s="98"/>
      <c r="M18" s="99"/>
      <c r="N18" s="57"/>
      <c r="O18" s="57"/>
      <c r="P18" s="57"/>
      <c r="Q18" s="57"/>
      <c r="R18" s="57"/>
      <c r="S18" s="57"/>
      <c r="T18" s="57"/>
      <c r="U18" s="57"/>
      <c r="V18" s="57"/>
      <c r="W18" s="57"/>
    </row>
    <row r="19" spans="1:23" ht="15" customHeight="1">
      <c r="A19" s="57">
        <v>18</v>
      </c>
      <c r="B19" s="120"/>
      <c r="C19" s="57"/>
      <c r="D19" s="57"/>
      <c r="E19" s="120"/>
      <c r="F19" s="95"/>
      <c r="G19" s="100"/>
      <c r="H19" s="57"/>
      <c r="I19" s="100"/>
      <c r="J19" s="104"/>
      <c r="K19" s="57"/>
      <c r="L19" s="98"/>
      <c r="M19" s="99"/>
      <c r="N19" s="57"/>
      <c r="O19" s="57"/>
      <c r="P19" s="57"/>
      <c r="Q19" s="57"/>
      <c r="R19" s="57"/>
      <c r="S19" s="57"/>
      <c r="T19" s="57"/>
      <c r="U19" s="57"/>
      <c r="V19" s="57"/>
      <c r="W19" s="57"/>
    </row>
    <row r="20" spans="1:23" ht="15" customHeight="1">
      <c r="A20" s="57">
        <v>19</v>
      </c>
      <c r="B20" s="120"/>
      <c r="C20" s="106"/>
      <c r="D20" s="57"/>
      <c r="E20" s="120"/>
      <c r="F20" s="95"/>
      <c r="G20" s="100"/>
      <c r="H20" s="57"/>
      <c r="I20" s="100"/>
      <c r="J20" s="104"/>
      <c r="K20" s="57"/>
      <c r="L20" s="99"/>
      <c r="M20" s="99"/>
      <c r="N20" s="57"/>
      <c r="O20" s="57"/>
      <c r="P20" s="57"/>
      <c r="Q20" s="57"/>
      <c r="R20" s="57"/>
      <c r="S20" s="57"/>
      <c r="T20" s="57"/>
      <c r="U20" s="57"/>
      <c r="V20" s="57"/>
      <c r="W20" s="57"/>
    </row>
    <row r="21" spans="1:23" ht="15" customHeight="1">
      <c r="A21" s="57">
        <v>20</v>
      </c>
      <c r="B21" s="120"/>
      <c r="C21" s="95"/>
      <c r="D21" s="57"/>
      <c r="E21" s="120"/>
      <c r="F21" s="95"/>
      <c r="G21" s="100"/>
      <c r="H21" s="57"/>
      <c r="I21" s="100"/>
      <c r="J21" s="104"/>
      <c r="K21" s="57"/>
      <c r="L21" s="98"/>
      <c r="M21" s="99"/>
      <c r="N21" s="57"/>
      <c r="O21" s="57"/>
      <c r="P21" s="57"/>
      <c r="Q21" s="57"/>
      <c r="R21" s="57"/>
      <c r="S21" s="57"/>
      <c r="T21" s="57"/>
      <c r="U21" s="57"/>
      <c r="V21" s="57"/>
      <c r="W21" s="57"/>
    </row>
    <row r="22" spans="1:23" ht="15" customHeight="1">
      <c r="A22" s="57">
        <v>21</v>
      </c>
      <c r="B22" s="120"/>
      <c r="C22" s="95"/>
      <c r="D22" s="57"/>
      <c r="E22" s="120"/>
      <c r="F22" s="95"/>
      <c r="G22" s="100"/>
      <c r="H22" s="57"/>
      <c r="I22" s="100"/>
      <c r="J22" s="104"/>
      <c r="K22" s="57"/>
      <c r="L22" s="98"/>
      <c r="M22" s="99"/>
      <c r="N22" s="57"/>
      <c r="O22" s="57"/>
      <c r="P22" s="57"/>
      <c r="Q22" s="57"/>
      <c r="R22" s="57"/>
      <c r="S22" s="57"/>
      <c r="T22" s="57"/>
      <c r="U22" s="57"/>
      <c r="V22" s="57"/>
      <c r="W22" s="57"/>
    </row>
    <row r="23" spans="1:23" ht="15" customHeight="1">
      <c r="A23" s="57">
        <v>22</v>
      </c>
      <c r="B23" s="120"/>
      <c r="C23" s="95"/>
      <c r="D23" s="57"/>
      <c r="E23" s="120"/>
      <c r="F23" s="95"/>
      <c r="G23" s="100"/>
      <c r="H23" s="57"/>
      <c r="I23" s="100"/>
      <c r="J23" s="104"/>
      <c r="K23" s="57"/>
      <c r="L23" s="98"/>
      <c r="M23" s="99"/>
      <c r="N23" s="57"/>
      <c r="O23" s="57"/>
      <c r="P23" s="57"/>
      <c r="Q23" s="57"/>
      <c r="R23" s="57"/>
      <c r="S23" s="57"/>
      <c r="T23" s="57"/>
      <c r="U23" s="57"/>
      <c r="V23" s="57"/>
      <c r="W23" s="57"/>
    </row>
    <row r="24" spans="1:23" ht="15" customHeight="1">
      <c r="A24" s="57">
        <v>23</v>
      </c>
      <c r="B24" s="120"/>
      <c r="C24" s="95"/>
      <c r="D24" s="57"/>
      <c r="E24" s="120"/>
      <c r="F24" s="95"/>
      <c r="G24" s="100"/>
      <c r="H24" s="57"/>
      <c r="I24" s="100"/>
      <c r="J24" s="104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</row>
    <row r="25" spans="1:23" ht="15" customHeight="1">
      <c r="A25" s="57">
        <v>24</v>
      </c>
      <c r="B25" s="121"/>
      <c r="C25" s="95"/>
      <c r="D25" s="107"/>
      <c r="E25" s="120"/>
      <c r="F25" s="95"/>
      <c r="G25" s="100"/>
      <c r="H25" s="57"/>
      <c r="I25" s="100"/>
      <c r="J25" s="108"/>
      <c r="K25" s="57"/>
      <c r="L25" s="98"/>
      <c r="M25" s="99"/>
      <c r="N25" s="107"/>
      <c r="O25" s="57"/>
      <c r="P25" s="57"/>
      <c r="Q25" s="57"/>
      <c r="R25" s="57"/>
      <c r="S25" s="57"/>
      <c r="T25" s="57"/>
      <c r="U25" s="57"/>
      <c r="V25" s="57"/>
      <c r="W25" s="57"/>
    </row>
    <row r="26" spans="1:23" ht="15" customHeight="1">
      <c r="A26" s="57">
        <v>25</v>
      </c>
      <c r="B26" s="122"/>
      <c r="C26" s="102"/>
      <c r="D26" s="107"/>
      <c r="E26" s="122"/>
      <c r="F26" s="95"/>
      <c r="G26" s="100"/>
      <c r="H26" s="57"/>
      <c r="I26" s="100"/>
      <c r="J26" s="108"/>
      <c r="K26" s="57"/>
      <c r="L26" s="98"/>
      <c r="M26" s="99"/>
      <c r="N26" s="107"/>
      <c r="O26" s="57"/>
      <c r="P26" s="57"/>
      <c r="Q26" s="57"/>
      <c r="R26" s="57"/>
      <c r="S26" s="57"/>
      <c r="T26" s="57"/>
      <c r="U26" s="57"/>
      <c r="V26" s="57"/>
      <c r="W26" s="57"/>
    </row>
    <row r="27" spans="1:23">
      <c r="A27" s="57">
        <v>26</v>
      </c>
      <c r="B27" s="120"/>
      <c r="C27" s="95"/>
      <c r="D27" s="107"/>
      <c r="E27" s="120"/>
      <c r="F27" s="95"/>
      <c r="G27" s="100"/>
      <c r="H27" s="57"/>
      <c r="I27" s="100"/>
      <c r="J27" s="108"/>
      <c r="K27" s="57"/>
      <c r="L27" s="98"/>
      <c r="M27" s="99"/>
      <c r="N27" s="107"/>
      <c r="O27" s="57"/>
      <c r="P27" s="57"/>
      <c r="Q27" s="57"/>
      <c r="R27" s="57"/>
      <c r="S27" s="57"/>
      <c r="T27" s="57"/>
      <c r="U27" s="57"/>
      <c r="V27" s="57"/>
      <c r="W27" s="57"/>
    </row>
    <row r="28" spans="1:23" ht="15" customHeight="1">
      <c r="A28" s="57">
        <v>27</v>
      </c>
      <c r="B28" s="120"/>
      <c r="C28" s="95"/>
      <c r="D28" s="57"/>
      <c r="E28" s="120"/>
      <c r="F28" s="57"/>
      <c r="G28" s="100"/>
      <c r="H28" s="57"/>
      <c r="I28" s="100"/>
      <c r="J28" s="108"/>
      <c r="K28" s="57"/>
      <c r="L28" s="99"/>
      <c r="M28" s="99"/>
      <c r="N28" s="57"/>
      <c r="O28" s="57"/>
      <c r="P28" s="57"/>
      <c r="Q28" s="57"/>
      <c r="R28" s="57"/>
      <c r="S28" s="57"/>
      <c r="T28" s="57"/>
      <c r="U28" s="57"/>
      <c r="V28" s="57"/>
      <c r="W28" s="57"/>
    </row>
    <row r="29" spans="1:23" ht="15" customHeight="1">
      <c r="A29" s="57">
        <v>28</v>
      </c>
      <c r="B29" s="120"/>
      <c r="C29" s="95"/>
      <c r="D29" s="57"/>
      <c r="E29" s="120"/>
      <c r="F29" s="95"/>
      <c r="G29" s="100"/>
      <c r="H29" s="57"/>
      <c r="I29" s="100"/>
      <c r="J29" s="108"/>
      <c r="K29" s="57"/>
      <c r="L29" s="99"/>
      <c r="M29" s="99"/>
      <c r="N29" s="57"/>
      <c r="O29" s="57"/>
      <c r="P29" s="57"/>
      <c r="Q29" s="57"/>
      <c r="R29" s="57"/>
      <c r="S29" s="57"/>
      <c r="T29" s="57"/>
      <c r="U29" s="57"/>
      <c r="V29" s="57"/>
      <c r="W29" s="57"/>
    </row>
    <row r="30" spans="1:23" ht="15" customHeight="1">
      <c r="A30" s="57">
        <v>29</v>
      </c>
      <c r="B30" s="120"/>
      <c r="C30" s="95"/>
      <c r="D30" s="57"/>
      <c r="E30" s="120"/>
      <c r="F30" s="95"/>
      <c r="G30" s="100"/>
      <c r="H30" s="57"/>
      <c r="I30" s="100"/>
      <c r="J30" s="108"/>
      <c r="K30" s="57"/>
      <c r="L30" s="99"/>
      <c r="M30" s="99"/>
      <c r="N30" s="57"/>
      <c r="O30" s="57"/>
      <c r="P30" s="57"/>
      <c r="Q30" s="57"/>
      <c r="R30" s="57"/>
      <c r="S30" s="57"/>
      <c r="T30" s="57"/>
      <c r="U30" s="57"/>
      <c r="V30" s="57"/>
      <c r="W30" s="57"/>
    </row>
    <row r="31" spans="1:23" ht="15" customHeight="1">
      <c r="A31" s="57">
        <v>30</v>
      </c>
      <c r="B31" s="120"/>
      <c r="C31" s="95"/>
      <c r="D31" s="57"/>
      <c r="E31" s="120"/>
      <c r="F31" s="95"/>
      <c r="G31" s="100"/>
      <c r="H31" s="57"/>
      <c r="I31" s="100"/>
      <c r="J31" s="108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</row>
    <row r="32" spans="1:23" ht="14.25" customHeight="1">
      <c r="A32" s="57">
        <v>31</v>
      </c>
      <c r="B32" s="120"/>
      <c r="C32" s="95"/>
      <c r="D32" s="57"/>
      <c r="E32" s="120"/>
      <c r="F32" s="95"/>
      <c r="G32" s="100"/>
      <c r="H32" s="57"/>
      <c r="I32" s="100"/>
      <c r="J32" s="108"/>
      <c r="K32" s="57"/>
      <c r="L32" s="99"/>
      <c r="M32" s="99"/>
      <c r="N32" s="57"/>
      <c r="O32" s="57"/>
      <c r="P32" s="57"/>
      <c r="Q32" s="57"/>
      <c r="R32" s="57"/>
      <c r="S32" s="57"/>
      <c r="T32" s="57"/>
      <c r="U32" s="57"/>
      <c r="V32" s="57"/>
      <c r="W32" s="57"/>
    </row>
    <row r="33" spans="1:23" ht="15" customHeight="1">
      <c r="A33" s="57">
        <v>32</v>
      </c>
      <c r="B33" s="120"/>
      <c r="C33" s="95"/>
      <c r="D33" s="57"/>
      <c r="E33" s="120"/>
      <c r="F33" s="95"/>
      <c r="G33" s="100"/>
      <c r="H33" s="57"/>
      <c r="I33" s="109"/>
      <c r="J33" s="108"/>
      <c r="K33" s="57"/>
      <c r="L33" s="99"/>
      <c r="M33" s="99"/>
      <c r="N33" s="57"/>
      <c r="O33" s="57"/>
      <c r="P33" s="57"/>
      <c r="Q33" s="57"/>
      <c r="R33" s="57"/>
      <c r="S33" s="57"/>
      <c r="T33" s="57"/>
      <c r="U33" s="57"/>
      <c r="V33" s="57"/>
      <c r="W33" s="57"/>
    </row>
    <row r="34" spans="1:23" ht="15" customHeight="1">
      <c r="A34" s="57">
        <v>33</v>
      </c>
      <c r="B34" s="120"/>
      <c r="C34" s="95"/>
      <c r="D34" s="57"/>
      <c r="E34" s="120"/>
      <c r="F34" s="95"/>
      <c r="G34" s="100"/>
      <c r="H34" s="57"/>
      <c r="I34" s="100"/>
      <c r="J34" s="108"/>
      <c r="K34" s="57"/>
      <c r="L34" s="99"/>
      <c r="M34" s="99"/>
      <c r="N34" s="57"/>
      <c r="O34" s="57"/>
      <c r="P34" s="57"/>
      <c r="Q34" s="57"/>
      <c r="R34" s="57"/>
      <c r="S34" s="57"/>
      <c r="T34" s="57"/>
      <c r="U34" s="57"/>
      <c r="V34" s="57"/>
      <c r="W34" s="57"/>
    </row>
    <row r="35" spans="1:23" ht="15" customHeight="1">
      <c r="A35" s="57">
        <v>34</v>
      </c>
      <c r="B35" s="120"/>
      <c r="C35" s="95"/>
      <c r="D35" s="57"/>
      <c r="E35" s="120"/>
      <c r="F35" s="95"/>
      <c r="G35" s="100"/>
      <c r="H35" s="57"/>
      <c r="I35" s="100"/>
      <c r="J35" s="110"/>
      <c r="K35" s="57"/>
      <c r="L35" s="99"/>
      <c r="M35" s="99"/>
      <c r="N35" s="57"/>
      <c r="O35" s="57"/>
      <c r="P35" s="57"/>
      <c r="Q35" s="57"/>
      <c r="R35" s="57"/>
      <c r="S35" s="57"/>
      <c r="T35" s="57"/>
      <c r="U35" s="57"/>
      <c r="V35" s="57"/>
      <c r="W35" s="57"/>
    </row>
    <row r="36" spans="1:23" ht="15" customHeight="1">
      <c r="A36" s="57">
        <v>35</v>
      </c>
      <c r="B36" s="120"/>
      <c r="C36" s="95"/>
      <c r="D36" s="95"/>
      <c r="E36" s="120"/>
      <c r="F36" s="95"/>
      <c r="G36" s="100"/>
      <c r="H36" s="57"/>
      <c r="I36" s="100"/>
      <c r="J36" s="110"/>
      <c r="K36" s="57"/>
      <c r="L36" s="99"/>
      <c r="M36" s="99"/>
      <c r="N36" s="95"/>
      <c r="O36" s="57"/>
      <c r="P36" s="57"/>
      <c r="Q36" s="57"/>
      <c r="R36" s="57"/>
      <c r="S36" s="57"/>
      <c r="T36" s="57"/>
      <c r="U36" s="57"/>
      <c r="V36" s="57"/>
      <c r="W36" s="57"/>
    </row>
    <row r="37" spans="1:23" ht="15" customHeight="1">
      <c r="A37" s="57">
        <v>36</v>
      </c>
      <c r="B37" s="120"/>
      <c r="C37" s="95"/>
      <c r="D37" s="95"/>
      <c r="E37" s="120"/>
      <c r="F37" s="95"/>
      <c r="G37" s="100"/>
      <c r="H37" s="57"/>
      <c r="I37" s="100"/>
      <c r="J37" s="57"/>
      <c r="K37" s="57"/>
      <c r="L37" s="99"/>
      <c r="M37" s="99"/>
      <c r="N37" s="95"/>
      <c r="O37" s="57"/>
      <c r="P37" s="57"/>
      <c r="Q37" s="57"/>
      <c r="R37" s="57"/>
      <c r="S37" s="57"/>
      <c r="T37" s="57"/>
      <c r="U37" s="57"/>
      <c r="V37" s="57"/>
      <c r="W37" s="57"/>
    </row>
    <row r="38" spans="1:23" ht="15" customHeight="1">
      <c r="A38" s="57">
        <v>37</v>
      </c>
      <c r="B38" s="120"/>
      <c r="C38" s="57"/>
      <c r="D38" s="57"/>
      <c r="E38" s="120"/>
      <c r="F38" s="95"/>
      <c r="G38" s="100"/>
      <c r="H38" s="57"/>
      <c r="I38" s="100"/>
      <c r="J38" s="111"/>
      <c r="K38" s="57"/>
      <c r="L38" s="99"/>
      <c r="M38" s="99"/>
      <c r="N38" s="57"/>
      <c r="O38" s="57"/>
      <c r="P38" s="57"/>
      <c r="Q38" s="57"/>
      <c r="R38" s="57"/>
      <c r="S38" s="57"/>
      <c r="T38" s="57"/>
      <c r="U38" s="57"/>
      <c r="V38" s="57"/>
      <c r="W38" s="57"/>
    </row>
    <row r="39" spans="1:23" ht="15" customHeight="1">
      <c r="A39" s="57">
        <v>38</v>
      </c>
      <c r="B39" s="120"/>
      <c r="C39" s="57"/>
      <c r="D39" s="57"/>
      <c r="E39" s="120"/>
      <c r="F39" s="95"/>
      <c r="G39" s="100"/>
      <c r="H39" s="57"/>
      <c r="I39" s="100"/>
      <c r="J39" s="111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</row>
    <row r="40" spans="1:23" ht="15" customHeight="1">
      <c r="A40" s="57">
        <v>39</v>
      </c>
      <c r="B40" s="120"/>
      <c r="C40" s="57"/>
      <c r="D40" s="57"/>
      <c r="E40" s="120"/>
      <c r="F40" s="95"/>
      <c r="G40" s="100"/>
      <c r="H40" s="57"/>
      <c r="I40" s="100"/>
      <c r="J40" s="111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</row>
    <row r="41" spans="1:23" ht="15" customHeight="1">
      <c r="A41" s="57">
        <v>40</v>
      </c>
      <c r="B41" s="120"/>
      <c r="C41" s="57"/>
      <c r="D41" s="57"/>
      <c r="E41" s="120"/>
      <c r="F41" s="95"/>
      <c r="G41" s="100"/>
      <c r="H41" s="57"/>
      <c r="I41" s="100"/>
      <c r="J41" s="111"/>
      <c r="K41" s="57"/>
      <c r="L41" s="99"/>
      <c r="M41" s="99"/>
      <c r="N41" s="57"/>
      <c r="O41" s="57"/>
      <c r="P41" s="57"/>
      <c r="Q41" s="57"/>
      <c r="R41" s="57"/>
      <c r="S41" s="57"/>
      <c r="T41" s="57"/>
      <c r="U41" s="57"/>
      <c r="V41" s="57"/>
      <c r="W41" s="57"/>
    </row>
    <row r="42" spans="1:23" ht="15" customHeight="1">
      <c r="A42" s="57">
        <v>41</v>
      </c>
      <c r="B42" s="120"/>
      <c r="C42" s="57"/>
      <c r="D42" s="57"/>
      <c r="E42" s="120"/>
      <c r="F42" s="57"/>
      <c r="G42" s="100"/>
      <c r="H42" s="57"/>
      <c r="I42" s="100"/>
      <c r="J42" s="111"/>
      <c r="K42" s="57"/>
      <c r="L42" s="99"/>
      <c r="M42" s="99"/>
      <c r="N42" s="57"/>
      <c r="O42" s="57"/>
      <c r="P42" s="57"/>
      <c r="Q42" s="57"/>
      <c r="R42" s="57"/>
      <c r="S42" s="57"/>
      <c r="T42" s="57"/>
      <c r="U42" s="57"/>
      <c r="V42" s="57"/>
      <c r="W42" s="57"/>
    </row>
    <row r="43" spans="1:23" ht="15" customHeight="1">
      <c r="A43" s="57">
        <v>42</v>
      </c>
      <c r="B43" s="120"/>
      <c r="C43" s="57"/>
      <c r="D43" s="57"/>
      <c r="E43" s="120"/>
      <c r="F43" s="95"/>
      <c r="G43" s="100"/>
      <c r="H43" s="57"/>
      <c r="I43" s="100"/>
      <c r="J43" s="111"/>
      <c r="K43" s="57"/>
      <c r="L43" s="99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</row>
    <row r="44" spans="1:23" ht="15" customHeight="1">
      <c r="A44" s="57">
        <v>43</v>
      </c>
      <c r="B44" s="120"/>
      <c r="C44" s="57"/>
      <c r="D44" s="57"/>
      <c r="E44" s="120"/>
      <c r="F44" s="112"/>
      <c r="G44" s="100"/>
      <c r="H44" s="57"/>
      <c r="I44" s="100"/>
      <c r="J44" s="111"/>
      <c r="K44" s="57"/>
      <c r="L44" s="99"/>
      <c r="M44" s="99"/>
      <c r="N44" s="57"/>
      <c r="O44" s="57"/>
      <c r="P44" s="57"/>
      <c r="Q44" s="57"/>
      <c r="R44" s="57"/>
      <c r="S44" s="57"/>
      <c r="T44" s="57"/>
      <c r="U44" s="57"/>
      <c r="V44" s="57"/>
      <c r="W44" s="57"/>
    </row>
    <row r="45" spans="1:23" ht="15" customHeight="1">
      <c r="A45" s="57">
        <v>44</v>
      </c>
      <c r="B45" s="120"/>
      <c r="C45" s="57"/>
      <c r="D45" s="57"/>
      <c r="E45" s="120"/>
      <c r="F45" s="95"/>
      <c r="G45" s="100"/>
      <c r="H45" s="57"/>
      <c r="I45" s="100"/>
      <c r="J45" s="108"/>
      <c r="K45" s="57"/>
      <c r="L45" s="57"/>
      <c r="M45" s="99"/>
      <c r="N45" s="57"/>
      <c r="O45" s="57"/>
      <c r="P45" s="57"/>
      <c r="Q45" s="57"/>
      <c r="R45" s="57"/>
      <c r="S45" s="57"/>
      <c r="T45" s="57"/>
      <c r="U45" s="57"/>
      <c r="V45" s="57"/>
      <c r="W45" s="57"/>
    </row>
    <row r="46" spans="1:23" ht="15" customHeight="1">
      <c r="A46" s="57">
        <v>45</v>
      </c>
      <c r="B46" s="120"/>
      <c r="C46" s="57"/>
      <c r="D46" s="57"/>
      <c r="E46" s="126"/>
      <c r="F46" s="95"/>
      <c r="G46" s="100"/>
      <c r="H46" s="57"/>
      <c r="I46" s="100"/>
      <c r="J46" s="57"/>
      <c r="K46" s="57"/>
      <c r="L46" s="99"/>
      <c r="M46" s="99"/>
      <c r="N46" s="57"/>
      <c r="O46" s="57"/>
      <c r="P46" s="57"/>
      <c r="Q46" s="57"/>
      <c r="R46" s="57"/>
      <c r="S46" s="57"/>
      <c r="T46" s="57"/>
      <c r="U46" s="57"/>
      <c r="V46" s="57"/>
      <c r="W46" s="57"/>
    </row>
    <row r="47" spans="1:23" ht="15" customHeight="1">
      <c r="A47" s="57">
        <v>46</v>
      </c>
      <c r="B47" s="120"/>
      <c r="C47" s="57"/>
      <c r="D47" s="57"/>
      <c r="E47" s="120"/>
      <c r="F47" s="95"/>
      <c r="G47" s="100"/>
      <c r="H47" s="57"/>
      <c r="I47" s="100"/>
      <c r="J47" s="57"/>
      <c r="K47" s="57"/>
      <c r="L47" s="99"/>
      <c r="M47" s="99"/>
      <c r="N47" s="57"/>
      <c r="O47" s="57"/>
      <c r="P47" s="57"/>
      <c r="Q47" s="57"/>
      <c r="R47" s="57"/>
      <c r="S47" s="57"/>
      <c r="T47" s="57"/>
      <c r="U47" s="57"/>
      <c r="V47" s="57"/>
      <c r="W47" s="57"/>
    </row>
    <row r="48" spans="1:23" ht="15" customHeight="1">
      <c r="A48" s="57">
        <v>47</v>
      </c>
      <c r="B48" s="120"/>
      <c r="C48" s="57"/>
      <c r="D48" s="57"/>
      <c r="E48" s="120"/>
      <c r="F48" s="95"/>
      <c r="G48" s="100"/>
      <c r="H48" s="57"/>
      <c r="I48" s="100"/>
      <c r="J48" s="57"/>
      <c r="K48" s="57"/>
      <c r="L48" s="57"/>
      <c r="M48" s="99"/>
      <c r="N48" s="57"/>
      <c r="O48" s="57"/>
      <c r="P48" s="57"/>
      <c r="Q48" s="57"/>
      <c r="R48" s="57"/>
      <c r="S48" s="57"/>
      <c r="T48" s="57"/>
      <c r="U48" s="57"/>
      <c r="V48" s="57"/>
      <c r="W48" s="57"/>
    </row>
    <row r="49" spans="1:23" ht="15" customHeight="1">
      <c r="A49" s="57">
        <v>47</v>
      </c>
      <c r="B49" s="120"/>
      <c r="C49" s="57"/>
      <c r="D49" s="57"/>
      <c r="E49" s="120"/>
      <c r="F49" s="95"/>
      <c r="G49" s="100"/>
      <c r="H49" s="57"/>
      <c r="I49" s="100"/>
      <c r="J49" s="57"/>
      <c r="K49" s="57"/>
      <c r="L49" s="99"/>
      <c r="M49" s="99"/>
      <c r="N49" s="57"/>
      <c r="O49" s="57"/>
      <c r="P49" s="57"/>
      <c r="Q49" s="57"/>
      <c r="R49" s="57"/>
      <c r="S49" s="57"/>
      <c r="T49" s="57"/>
      <c r="U49" s="57"/>
      <c r="V49" s="57"/>
      <c r="W49" s="57"/>
    </row>
    <row r="50" spans="1:23" ht="15" customHeight="1">
      <c r="A50" s="57"/>
      <c r="B50" s="120"/>
      <c r="C50" s="57"/>
      <c r="D50" s="57"/>
      <c r="E50" s="120"/>
      <c r="F50" s="57"/>
      <c r="G50" s="100"/>
      <c r="H50" s="57"/>
      <c r="I50" s="100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</row>
    <row r="51" spans="1:23" ht="15" customHeight="1">
      <c r="A51" s="57"/>
      <c r="B51" s="120"/>
      <c r="C51" s="57"/>
      <c r="D51" s="57"/>
      <c r="E51" s="120"/>
      <c r="F51" s="57"/>
      <c r="G51" s="100"/>
      <c r="H51" s="57"/>
      <c r="I51" s="100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</row>
    <row r="52" spans="1:23" ht="15" customHeight="1">
      <c r="A52" s="57"/>
      <c r="B52" s="120"/>
      <c r="C52" s="57"/>
      <c r="D52" s="57"/>
      <c r="E52" s="120"/>
      <c r="F52" s="57"/>
      <c r="G52" s="100"/>
      <c r="H52" s="57"/>
      <c r="I52" s="100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</row>
    <row r="53" spans="1:23" ht="15" customHeight="1">
      <c r="A53" s="57"/>
      <c r="B53" s="120"/>
      <c r="C53" s="57"/>
      <c r="D53" s="57"/>
      <c r="E53" s="120"/>
      <c r="F53" s="57"/>
      <c r="G53" s="100"/>
      <c r="H53" s="57"/>
      <c r="I53" s="100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</row>
    <row r="54" spans="1:23" ht="15" customHeight="1">
      <c r="A54" s="57"/>
      <c r="B54" s="120"/>
      <c r="C54" s="57"/>
      <c r="D54" s="57"/>
      <c r="E54" s="120"/>
      <c r="F54" s="57"/>
      <c r="G54" s="100"/>
      <c r="H54" s="57"/>
      <c r="I54" s="100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</row>
    <row r="55" spans="1:23" ht="15" customHeight="1">
      <c r="A55" s="57"/>
      <c r="B55" s="120"/>
      <c r="C55" s="57"/>
      <c r="D55" s="57"/>
      <c r="E55" s="120"/>
      <c r="F55" s="57"/>
      <c r="G55" s="100"/>
      <c r="H55" s="57"/>
      <c r="I55" s="100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</row>
    <row r="56" spans="1:23" ht="15" customHeight="1">
      <c r="A56" s="57"/>
      <c r="B56" s="120"/>
      <c r="C56" s="57"/>
      <c r="D56" s="57"/>
      <c r="E56" s="120"/>
      <c r="F56" s="57"/>
      <c r="G56" s="100"/>
      <c r="H56" s="57"/>
      <c r="I56" s="100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</row>
    <row r="57" spans="1:23" ht="15" customHeight="1">
      <c r="A57" s="57"/>
      <c r="B57" s="120"/>
      <c r="C57" s="57"/>
      <c r="D57" s="57"/>
      <c r="E57" s="120"/>
      <c r="F57" s="57"/>
      <c r="G57" s="100"/>
      <c r="H57" s="57"/>
      <c r="I57" s="100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</row>
    <row r="58" spans="1:23" ht="15" customHeight="1">
      <c r="A58" s="57"/>
      <c r="B58" s="120"/>
      <c r="C58" s="57"/>
      <c r="D58" s="57"/>
      <c r="E58" s="120"/>
      <c r="F58" s="57"/>
      <c r="G58" s="100"/>
      <c r="H58" s="57"/>
      <c r="I58" s="100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</row>
    <row r="59" spans="1:23" ht="15" customHeight="1">
      <c r="A59" s="57"/>
      <c r="B59" s="120"/>
      <c r="C59" s="57"/>
      <c r="D59" s="57"/>
      <c r="E59" s="120"/>
      <c r="F59" s="57"/>
      <c r="G59" s="100"/>
      <c r="H59" s="57"/>
      <c r="I59" s="100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</row>
    <row r="60" spans="1:23" ht="15" customHeight="1">
      <c r="A60" s="57"/>
      <c r="B60" s="120"/>
      <c r="C60" s="57"/>
      <c r="D60" s="57"/>
      <c r="E60" s="120"/>
      <c r="F60" s="57"/>
      <c r="G60" s="100"/>
      <c r="H60" s="57"/>
      <c r="I60" s="100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</row>
    <row r="61" spans="1:23" ht="15" customHeight="1">
      <c r="A61" s="57"/>
      <c r="B61" s="120"/>
      <c r="C61" s="57"/>
      <c r="D61" s="57"/>
      <c r="E61" s="120"/>
      <c r="F61" s="57"/>
      <c r="G61" s="100"/>
      <c r="H61" s="57"/>
      <c r="I61" s="100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</row>
    <row r="62" spans="1:23" ht="15" customHeight="1">
      <c r="A62" s="57"/>
      <c r="B62" s="120"/>
      <c r="C62" s="57"/>
      <c r="D62" s="57"/>
      <c r="E62" s="120"/>
      <c r="F62" s="57"/>
      <c r="G62" s="100"/>
      <c r="H62" s="57"/>
      <c r="I62" s="100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</row>
    <row r="63" spans="1:23" ht="15" customHeight="1">
      <c r="A63" s="57"/>
      <c r="B63" s="120"/>
      <c r="C63" s="57"/>
      <c r="D63" s="57"/>
      <c r="E63" s="120"/>
      <c r="F63" s="57"/>
      <c r="G63" s="100"/>
      <c r="H63" s="57"/>
      <c r="I63" s="100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</row>
  </sheetData>
  <autoFilter ref="A1:W49" xr:uid="{944D25BD-50BD-4C2A-A648-F693E10A6790}"/>
  <hyperlinks>
    <hyperlink ref="F2" r:id="rId1" xr:uid="{B0B6E55E-3F33-4E52-BA04-CCB69A0ABF8E}"/>
    <hyperlink ref="F3" r:id="rId2" xr:uid="{67D9A891-BBD3-4E71-9D3B-02F0483B46F7}"/>
  </hyperlinks>
  <pageMargins left="0.511811024" right="0.511811024" top="0.78740157499999996" bottom="0.78740157499999996" header="0.31496062000000002" footer="0.31496062000000002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Mauricio Souza Magalhães</dc:creator>
  <cp:keywords/>
  <dc:description/>
  <cp:lastModifiedBy>Usuário Convidado</cp:lastModifiedBy>
  <cp:revision/>
  <dcterms:created xsi:type="dcterms:W3CDTF">2024-09-27T21:48:53Z</dcterms:created>
  <dcterms:modified xsi:type="dcterms:W3CDTF">2026-02-10T15:08:03Z</dcterms:modified>
  <cp:category/>
  <cp:contentStatus/>
</cp:coreProperties>
</file>